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TINDAKMALAYSIA NETWORK SERVICES PLT\SARAWAK\PBB LEAKED SLIDES\"/>
    </mc:Choice>
  </mc:AlternateContent>
  <xr:revisionPtr revIDLastSave="0" documentId="13_ncr:1_{E96C4DA5-0578-44EE-BF1F-FF071E51BB61}" xr6:coauthVersionLast="47" xr6:coauthVersionMax="47" xr10:uidLastSave="{00000000-0000-0000-0000-000000000000}"/>
  <bookViews>
    <workbookView xWindow="-110" yWindow="-110" windowWidth="19420" windowHeight="11500" tabRatio="834" firstSheet="7" activeTab="9" xr2:uid="{9E38A2E5-CA71-4E09-8DA7-B7A2793F8EB6}"/>
  </bookViews>
  <sheets>
    <sheet name="TABLE OF CONTENTS" sheetId="16" r:id="rId1"/>
    <sheet name="OVERALL SARAWAK STATISTICS" sheetId="1" r:id="rId2"/>
    <sheet name="OVERALL PROPOSAL" sheetId="2" r:id="rId3"/>
    <sheet name="PROPOSED PARLIAMENTARY SEATS" sheetId="8" r:id="rId4"/>
    <sheet name="PROPOSED DUN ALLOCATION" sheetId="3" r:id="rId5"/>
    <sheet name="PAR ETHNIC &amp; ELECTORATE CHANGE " sheetId="9" r:id="rId6"/>
    <sheet name="DUN ETHNIC &amp; ELECTORATE CHANGE" sheetId="4" r:id="rId7"/>
    <sheet name="MOVEMENT OF POLLING DISTRICTS" sheetId="5" r:id="rId8"/>
    <sheet name="IMPACT OF DUN OUTCOME" sheetId="12" r:id="rId9"/>
    <sheet name="IMPACT OF PARLIAMENT OUTCOME" sheetId="15" r:id="rId10"/>
  </sheets>
  <externalReferences>
    <externalReference r:id="rId11"/>
  </externalReferences>
  <definedNames>
    <definedName name="_xlnm._FilterDatabase" localSheetId="6" hidden="1">'DUN ETHNIC &amp; ELECTORATE CHANGE'!$A$1:$AC$101</definedName>
    <definedName name="_xlnm._FilterDatabase" localSheetId="8" hidden="1">'IMPACT OF DUN OUTCOME'!$A$2:$AF$102</definedName>
    <definedName name="_xlnm._FilterDatabase" localSheetId="7" hidden="1">'MOVEMENT OF POLLING DISTRICTS'!$A$1:$R$1045</definedName>
    <definedName name="_xlnm._FilterDatabase" localSheetId="5" hidden="1">'PAR ETHNIC &amp; ELECTORATE CHANGE '!$A$1:$Y$33</definedName>
    <definedName name="_xlnm._FilterDatabase" localSheetId="4" hidden="1">'PROPOSED DUN ALLOCATION'!$A$1:$N$118</definedName>
    <definedName name="_xlnm._FilterDatabase" localSheetId="3" hidden="1">'PROPOSED PARLIAMENTARY SEATS'!$A$1:$G$33</definedName>
    <definedName name="_xlcn.WorksheetConnection_IMPACTONDUNOUTCOME1A1AB11201" hidden="1">'[1]IMPACT ON DUN OUTCOME - WORK SH'!$A$1:$AB$1118</definedName>
  </definedNames>
  <calcPr calcId="191029"/>
  <pivotCaches>
    <pivotCache cacheId="4"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IMPACT ON DUN OUTCOME (1)!$A$1:$AB$112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2" l="1"/>
  <c r="D56" i="2"/>
  <c r="F55" i="2"/>
  <c r="D55" i="2"/>
  <c r="F54" i="2"/>
  <c r="D54" i="2"/>
  <c r="F53" i="2"/>
  <c r="D53" i="2"/>
  <c r="F52" i="2"/>
  <c r="D52" i="2"/>
  <c r="M34" i="15"/>
  <c r="L34" i="15"/>
  <c r="M33" i="15"/>
  <c r="L33" i="15"/>
  <c r="M32" i="15"/>
  <c r="L32" i="15"/>
  <c r="M31" i="15"/>
  <c r="L31" i="15"/>
  <c r="M30" i="15"/>
  <c r="L30" i="15"/>
  <c r="M29" i="15"/>
  <c r="L29" i="15"/>
  <c r="M28" i="15"/>
  <c r="L28" i="15"/>
  <c r="M27" i="15"/>
  <c r="L27" i="15"/>
  <c r="M26" i="15"/>
  <c r="L26" i="15"/>
  <c r="M25" i="15"/>
  <c r="L25" i="15"/>
  <c r="M24" i="15"/>
  <c r="L24" i="15"/>
  <c r="M23" i="15"/>
  <c r="L23" i="15"/>
  <c r="M22" i="15"/>
  <c r="L22" i="15"/>
  <c r="M21" i="15"/>
  <c r="L21" i="15"/>
  <c r="M20" i="15"/>
  <c r="L20" i="15"/>
  <c r="M19" i="15"/>
  <c r="L19" i="15"/>
  <c r="M18" i="15"/>
  <c r="L18" i="15"/>
  <c r="M17" i="15"/>
  <c r="L17" i="15"/>
  <c r="M16" i="15"/>
  <c r="L16" i="15"/>
  <c r="M15" i="15"/>
  <c r="L15" i="15"/>
  <c r="M14" i="15"/>
  <c r="L14" i="15"/>
  <c r="M13" i="15"/>
  <c r="L13" i="15"/>
  <c r="M12" i="15"/>
  <c r="L12" i="15"/>
  <c r="M11" i="15"/>
  <c r="L11" i="15"/>
  <c r="M10" i="15"/>
  <c r="L10" i="15"/>
  <c r="M9" i="15"/>
  <c r="L9" i="15"/>
  <c r="M8" i="15"/>
  <c r="L8" i="15"/>
  <c r="M7" i="15"/>
  <c r="L7" i="15"/>
  <c r="M6" i="15"/>
  <c r="L6" i="15"/>
  <c r="M5" i="15"/>
  <c r="L5" i="15"/>
  <c r="M4" i="15"/>
  <c r="L4" i="15"/>
  <c r="R914" i="5"/>
  <c r="Q914" i="5"/>
  <c r="Y31" i="9"/>
  <c r="Q31" i="9"/>
  <c r="Y30" i="9"/>
  <c r="Q30" i="9"/>
  <c r="Y29" i="9"/>
  <c r="Q29" i="9"/>
  <c r="Y24" i="9"/>
  <c r="Q24" i="9"/>
  <c r="Y23" i="9"/>
  <c r="Q23" i="9"/>
  <c r="Y22" i="9"/>
  <c r="Q22" i="9"/>
  <c r="Q17" i="9"/>
  <c r="F19" i="9"/>
  <c r="F20" i="9"/>
  <c r="Y17" i="9"/>
  <c r="Q9" i="9"/>
  <c r="Q7" i="9"/>
  <c r="M4" i="9"/>
  <c r="M5" i="9"/>
  <c r="M7" i="9"/>
  <c r="M9" i="9"/>
  <c r="M17" i="9"/>
  <c r="M21" i="9"/>
  <c r="M22" i="9"/>
  <c r="M23" i="9"/>
  <c r="M24" i="9"/>
  <c r="M25" i="9"/>
  <c r="M26" i="9"/>
  <c r="M29" i="9"/>
  <c r="M30" i="9"/>
  <c r="M31" i="9"/>
  <c r="M32" i="9"/>
  <c r="M33" i="9"/>
  <c r="M3" i="9"/>
  <c r="F4" i="9"/>
  <c r="F5" i="9"/>
  <c r="F6" i="9"/>
  <c r="F7" i="9"/>
  <c r="F8" i="9"/>
  <c r="F9" i="9"/>
  <c r="F10" i="9"/>
  <c r="F11" i="9"/>
  <c r="F12" i="9"/>
  <c r="F13" i="9"/>
  <c r="F14" i="9"/>
  <c r="F15" i="9"/>
  <c r="F16" i="9"/>
  <c r="F17" i="9"/>
  <c r="F18" i="9"/>
  <c r="F21" i="9"/>
  <c r="F22" i="9"/>
  <c r="F23" i="9"/>
  <c r="F24" i="9"/>
  <c r="F25" i="9"/>
  <c r="F26" i="9"/>
  <c r="F27" i="9"/>
  <c r="F28" i="9"/>
  <c r="F29" i="9"/>
  <c r="F30" i="9"/>
  <c r="F31" i="9"/>
  <c r="F32" i="9"/>
  <c r="F33" i="9"/>
  <c r="F3" i="9"/>
  <c r="R4" i="9"/>
  <c r="R5" i="9"/>
  <c r="R6" i="9"/>
  <c r="R7" i="9"/>
  <c r="R8" i="9"/>
  <c r="R9" i="9"/>
  <c r="R15" i="9"/>
  <c r="R16" i="9"/>
  <c r="R17" i="9"/>
  <c r="R22" i="9"/>
  <c r="R23" i="9"/>
  <c r="R24" i="9"/>
  <c r="R25" i="9"/>
  <c r="R26" i="9"/>
  <c r="R28" i="9"/>
  <c r="R29" i="9"/>
  <c r="R30" i="9"/>
  <c r="R31" i="9"/>
  <c r="R32" i="9"/>
  <c r="R33" i="9"/>
  <c r="R3"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Y28" i="9"/>
  <c r="Y26" i="9"/>
  <c r="Q26" i="9"/>
  <c r="Y25" i="9"/>
  <c r="Q25" i="9"/>
  <c r="Y8" i="9"/>
  <c r="Q8" i="9"/>
  <c r="Y7" i="9"/>
  <c r="Y5" i="9"/>
  <c r="Q5" i="9"/>
  <c r="Y4" i="9"/>
  <c r="Q4" i="9"/>
  <c r="Y3" i="9"/>
  <c r="Q3" i="9"/>
  <c r="E4" i="8"/>
  <c r="F4" i="8"/>
  <c r="E5" i="8"/>
  <c r="F5" i="8"/>
  <c r="E6" i="8"/>
  <c r="F6" i="8"/>
  <c r="E7" i="8"/>
  <c r="F7" i="8"/>
  <c r="E8" i="8"/>
  <c r="F8" i="8"/>
  <c r="E9" i="8"/>
  <c r="F9" i="8"/>
  <c r="E10" i="8"/>
  <c r="F10" i="8"/>
  <c r="E11" i="8"/>
  <c r="F11" i="8"/>
  <c r="E12" i="8"/>
  <c r="F12" i="8"/>
  <c r="E13" i="8"/>
  <c r="F13"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F3" i="8"/>
  <c r="E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 i="8"/>
  <c r="Q4" i="5"/>
  <c r="R4" i="5"/>
  <c r="Q5" i="5"/>
  <c r="R5" i="5"/>
  <c r="Q6" i="5"/>
  <c r="R6" i="5"/>
  <c r="Q7" i="5"/>
  <c r="R7" i="5"/>
  <c r="Q8" i="5"/>
  <c r="R8" i="5"/>
  <c r="Q9" i="5"/>
  <c r="R9" i="5"/>
  <c r="Q10" i="5"/>
  <c r="R10" i="5"/>
  <c r="Q11" i="5"/>
  <c r="R11" i="5"/>
  <c r="Q12" i="5"/>
  <c r="R12" i="5"/>
  <c r="Q13" i="5"/>
  <c r="R13" i="5"/>
  <c r="Q14" i="5"/>
  <c r="R14" i="5"/>
  <c r="Q15" i="5"/>
  <c r="R15" i="5"/>
  <c r="Q16" i="5"/>
  <c r="R16" i="5"/>
  <c r="Q17" i="5"/>
  <c r="R17" i="5"/>
  <c r="Q18" i="5"/>
  <c r="R18" i="5"/>
  <c r="Q19" i="5"/>
  <c r="R19" i="5"/>
  <c r="Q20" i="5"/>
  <c r="R20" i="5"/>
  <c r="Q21" i="5"/>
  <c r="R21" i="5"/>
  <c r="Q22" i="5"/>
  <c r="R22" i="5"/>
  <c r="Q23" i="5"/>
  <c r="R23" i="5"/>
  <c r="Q24" i="5"/>
  <c r="R24" i="5"/>
  <c r="Q25" i="5"/>
  <c r="R25" i="5"/>
  <c r="Q26" i="5"/>
  <c r="R26" i="5"/>
  <c r="Q27" i="5"/>
  <c r="R27" i="5"/>
  <c r="Q28" i="5"/>
  <c r="R28" i="5"/>
  <c r="Q29" i="5"/>
  <c r="R29" i="5"/>
  <c r="Q30" i="5"/>
  <c r="R30" i="5"/>
  <c r="Q31" i="5"/>
  <c r="R31" i="5"/>
  <c r="Q32" i="5"/>
  <c r="R32" i="5"/>
  <c r="Q33" i="5"/>
  <c r="R33" i="5"/>
  <c r="Q34" i="5"/>
  <c r="R34" i="5"/>
  <c r="Q35" i="5"/>
  <c r="R35" i="5"/>
  <c r="Q36" i="5"/>
  <c r="R36" i="5"/>
  <c r="Q37" i="5"/>
  <c r="R37" i="5"/>
  <c r="Q38" i="5"/>
  <c r="R38" i="5"/>
  <c r="Q39" i="5"/>
  <c r="R39" i="5"/>
  <c r="Q40" i="5"/>
  <c r="R40" i="5"/>
  <c r="Q41" i="5"/>
  <c r="R41" i="5"/>
  <c r="Q42" i="5"/>
  <c r="R42" i="5"/>
  <c r="Q43" i="5"/>
  <c r="R43" i="5"/>
  <c r="Q44" i="5"/>
  <c r="R44" i="5"/>
  <c r="Q45" i="5"/>
  <c r="R45" i="5"/>
  <c r="Q46" i="5"/>
  <c r="R46" i="5"/>
  <c r="Q47" i="5"/>
  <c r="R47" i="5"/>
  <c r="Q48" i="5"/>
  <c r="R48" i="5"/>
  <c r="Q49" i="5"/>
  <c r="R49" i="5"/>
  <c r="Q50" i="5"/>
  <c r="R50" i="5"/>
  <c r="Q51" i="5"/>
  <c r="R51" i="5"/>
  <c r="Q52" i="5"/>
  <c r="R52" i="5"/>
  <c r="Q53" i="5"/>
  <c r="R53" i="5"/>
  <c r="Q54" i="5"/>
  <c r="R54" i="5"/>
  <c r="Q55" i="5"/>
  <c r="R55" i="5"/>
  <c r="Q56" i="5"/>
  <c r="R56" i="5"/>
  <c r="Q57" i="5"/>
  <c r="R57" i="5"/>
  <c r="Q58" i="5"/>
  <c r="R58" i="5"/>
  <c r="Q59" i="5"/>
  <c r="R59" i="5"/>
  <c r="Q60" i="5"/>
  <c r="R60" i="5"/>
  <c r="Q61" i="5"/>
  <c r="R61" i="5"/>
  <c r="Q62" i="5"/>
  <c r="R62" i="5"/>
  <c r="Q63" i="5"/>
  <c r="R63" i="5"/>
  <c r="Q64" i="5"/>
  <c r="R64" i="5"/>
  <c r="Q65" i="5"/>
  <c r="R65" i="5"/>
  <c r="Q66" i="5"/>
  <c r="R66" i="5"/>
  <c r="Q67" i="5"/>
  <c r="R67" i="5"/>
  <c r="Q68" i="5"/>
  <c r="R68" i="5"/>
  <c r="Q69" i="5"/>
  <c r="R69" i="5"/>
  <c r="Q70" i="5"/>
  <c r="R70" i="5"/>
  <c r="Q71" i="5"/>
  <c r="R71" i="5"/>
  <c r="Q72" i="5"/>
  <c r="R72" i="5"/>
  <c r="Q73" i="5"/>
  <c r="R73" i="5"/>
  <c r="Q74" i="5"/>
  <c r="R74" i="5"/>
  <c r="Q75" i="5"/>
  <c r="R75" i="5"/>
  <c r="Q76" i="5"/>
  <c r="R76" i="5"/>
  <c r="Q77" i="5"/>
  <c r="R77" i="5"/>
  <c r="Q78" i="5"/>
  <c r="R78" i="5"/>
  <c r="Q79" i="5"/>
  <c r="R79" i="5"/>
  <c r="Q80" i="5"/>
  <c r="R80" i="5"/>
  <c r="Q81" i="5"/>
  <c r="R81" i="5"/>
  <c r="Q82" i="5"/>
  <c r="R82" i="5"/>
  <c r="Q83" i="5"/>
  <c r="R83" i="5"/>
  <c r="Q84" i="5"/>
  <c r="R84" i="5"/>
  <c r="Q85" i="5"/>
  <c r="R85" i="5"/>
  <c r="Q86" i="5"/>
  <c r="R86" i="5"/>
  <c r="Q87" i="5"/>
  <c r="R87" i="5"/>
  <c r="Q88" i="5"/>
  <c r="R88" i="5"/>
  <c r="Q89" i="5"/>
  <c r="R89" i="5"/>
  <c r="Q90" i="5"/>
  <c r="R90" i="5"/>
  <c r="Q91" i="5"/>
  <c r="R91" i="5"/>
  <c r="Q92" i="5"/>
  <c r="R92" i="5"/>
  <c r="Q93" i="5"/>
  <c r="R93" i="5"/>
  <c r="Q94" i="5"/>
  <c r="R94" i="5"/>
  <c r="Q95" i="5"/>
  <c r="R95" i="5"/>
  <c r="Q96" i="5"/>
  <c r="R96" i="5"/>
  <c r="Q97" i="5"/>
  <c r="R97" i="5"/>
  <c r="Q98" i="5"/>
  <c r="R98" i="5"/>
  <c r="Q99" i="5"/>
  <c r="R99" i="5"/>
  <c r="Q100" i="5"/>
  <c r="R100" i="5"/>
  <c r="Q101" i="5"/>
  <c r="R101" i="5"/>
  <c r="Q102" i="5"/>
  <c r="R102" i="5"/>
  <c r="Q103" i="5"/>
  <c r="R103" i="5"/>
  <c r="Q104" i="5"/>
  <c r="R104" i="5"/>
  <c r="Q105" i="5"/>
  <c r="R105" i="5"/>
  <c r="Q106" i="5"/>
  <c r="R106" i="5"/>
  <c r="Q107" i="5"/>
  <c r="R107" i="5"/>
  <c r="Q108" i="5"/>
  <c r="R108" i="5"/>
  <c r="Q109" i="5"/>
  <c r="R109" i="5"/>
  <c r="Q110" i="5"/>
  <c r="R110" i="5"/>
  <c r="Q111" i="5"/>
  <c r="R111" i="5"/>
  <c r="Q112" i="5"/>
  <c r="R112" i="5"/>
  <c r="Q113" i="5"/>
  <c r="R113" i="5"/>
  <c r="Q114" i="5"/>
  <c r="R114" i="5"/>
  <c r="Q115" i="5"/>
  <c r="R115" i="5"/>
  <c r="Q116" i="5"/>
  <c r="R116" i="5"/>
  <c r="Q117" i="5"/>
  <c r="R117" i="5"/>
  <c r="Q118" i="5"/>
  <c r="R118" i="5"/>
  <c r="Q119" i="5"/>
  <c r="R119" i="5"/>
  <c r="Q120" i="5"/>
  <c r="R120" i="5"/>
  <c r="Q121" i="5"/>
  <c r="R121" i="5"/>
  <c r="Q122" i="5"/>
  <c r="R122" i="5"/>
  <c r="Q123" i="5"/>
  <c r="R123" i="5"/>
  <c r="Q124" i="5"/>
  <c r="R124" i="5"/>
  <c r="Q125" i="5"/>
  <c r="R125" i="5"/>
  <c r="Q126" i="5"/>
  <c r="R126" i="5"/>
  <c r="Q127" i="5"/>
  <c r="R127" i="5"/>
  <c r="Q128" i="5"/>
  <c r="R128" i="5"/>
  <c r="Q129" i="5"/>
  <c r="R129" i="5"/>
  <c r="Q130" i="5"/>
  <c r="R130" i="5"/>
  <c r="Q131" i="5"/>
  <c r="R131" i="5"/>
  <c r="Q132" i="5"/>
  <c r="R132" i="5"/>
  <c r="Q133" i="5"/>
  <c r="R133" i="5"/>
  <c r="Q134" i="5"/>
  <c r="R134" i="5"/>
  <c r="Q135" i="5"/>
  <c r="R135" i="5"/>
  <c r="Q136" i="5"/>
  <c r="R136" i="5"/>
  <c r="Q137" i="5"/>
  <c r="R137" i="5"/>
  <c r="Q138" i="5"/>
  <c r="R138" i="5"/>
  <c r="Q139" i="5"/>
  <c r="R139" i="5"/>
  <c r="Q140" i="5"/>
  <c r="R140" i="5"/>
  <c r="Q141" i="5"/>
  <c r="R141" i="5"/>
  <c r="Q142" i="5"/>
  <c r="R142" i="5"/>
  <c r="Q143" i="5"/>
  <c r="R143" i="5"/>
  <c r="Q144" i="5"/>
  <c r="R144" i="5"/>
  <c r="Q145" i="5"/>
  <c r="R145" i="5"/>
  <c r="Q146" i="5"/>
  <c r="R146" i="5"/>
  <c r="Q147" i="5"/>
  <c r="R147" i="5"/>
  <c r="Q148" i="5"/>
  <c r="R148" i="5"/>
  <c r="Q149" i="5"/>
  <c r="R149" i="5"/>
  <c r="Q150" i="5"/>
  <c r="R150" i="5"/>
  <c r="Q151" i="5"/>
  <c r="R151" i="5"/>
  <c r="Q152" i="5"/>
  <c r="R152" i="5"/>
  <c r="Q153" i="5"/>
  <c r="R153" i="5"/>
  <c r="Q154" i="5"/>
  <c r="R154" i="5"/>
  <c r="Q155" i="5"/>
  <c r="R155" i="5"/>
  <c r="Q156" i="5"/>
  <c r="R156" i="5"/>
  <c r="Q157" i="5"/>
  <c r="R157" i="5"/>
  <c r="Q158" i="5"/>
  <c r="R158" i="5"/>
  <c r="Q159" i="5"/>
  <c r="R159" i="5"/>
  <c r="Q160" i="5"/>
  <c r="R160" i="5"/>
  <c r="Q161" i="5"/>
  <c r="R161" i="5"/>
  <c r="Q162" i="5"/>
  <c r="R162" i="5"/>
  <c r="Q163" i="5"/>
  <c r="R163" i="5"/>
  <c r="Q164" i="5"/>
  <c r="R164" i="5"/>
  <c r="Q165" i="5"/>
  <c r="R165" i="5"/>
  <c r="Q166" i="5"/>
  <c r="R166" i="5"/>
  <c r="Q167" i="5"/>
  <c r="R167" i="5"/>
  <c r="Q168" i="5"/>
  <c r="R168" i="5"/>
  <c r="Q169" i="5"/>
  <c r="R169" i="5"/>
  <c r="Q170" i="5"/>
  <c r="R170" i="5"/>
  <c r="Q171" i="5"/>
  <c r="R171" i="5"/>
  <c r="Q172" i="5"/>
  <c r="R172" i="5"/>
  <c r="Q173" i="5"/>
  <c r="R173" i="5"/>
  <c r="Q174" i="5"/>
  <c r="R174" i="5"/>
  <c r="Q175" i="5"/>
  <c r="R175" i="5"/>
  <c r="Q176" i="5"/>
  <c r="R176" i="5"/>
  <c r="Q177" i="5"/>
  <c r="R177" i="5"/>
  <c r="Q178" i="5"/>
  <c r="R178" i="5"/>
  <c r="Q179" i="5"/>
  <c r="R179" i="5"/>
  <c r="Q180" i="5"/>
  <c r="R180" i="5"/>
  <c r="Q181" i="5"/>
  <c r="R181" i="5"/>
  <c r="Q182" i="5"/>
  <c r="R182" i="5"/>
  <c r="Q183" i="5"/>
  <c r="R183" i="5"/>
  <c r="Q184" i="5"/>
  <c r="R184" i="5"/>
  <c r="Q185" i="5"/>
  <c r="R185" i="5"/>
  <c r="Q186" i="5"/>
  <c r="R186" i="5"/>
  <c r="Q187" i="5"/>
  <c r="R187" i="5"/>
  <c r="Q188" i="5"/>
  <c r="R188" i="5"/>
  <c r="Q189" i="5"/>
  <c r="R189" i="5"/>
  <c r="Q190" i="5"/>
  <c r="R190" i="5"/>
  <c r="Q191" i="5"/>
  <c r="R191" i="5"/>
  <c r="Q192" i="5"/>
  <c r="R192" i="5"/>
  <c r="Q193" i="5"/>
  <c r="R193" i="5"/>
  <c r="Q194" i="5"/>
  <c r="R194" i="5"/>
  <c r="Q195" i="5"/>
  <c r="R195" i="5"/>
  <c r="Q196" i="5"/>
  <c r="R196" i="5"/>
  <c r="Q197" i="5"/>
  <c r="R197" i="5"/>
  <c r="Q198" i="5"/>
  <c r="R198" i="5"/>
  <c r="Q199" i="5"/>
  <c r="R199" i="5"/>
  <c r="Q200" i="5"/>
  <c r="R200" i="5"/>
  <c r="Q201" i="5"/>
  <c r="R201" i="5"/>
  <c r="Q202" i="5"/>
  <c r="R202" i="5"/>
  <c r="Q203" i="5"/>
  <c r="R203" i="5"/>
  <c r="Q204" i="5"/>
  <c r="R204" i="5"/>
  <c r="Q205" i="5"/>
  <c r="R205" i="5"/>
  <c r="Q206" i="5"/>
  <c r="R206" i="5"/>
  <c r="Q207" i="5"/>
  <c r="R207" i="5"/>
  <c r="Q208" i="5"/>
  <c r="R208" i="5"/>
  <c r="Q209" i="5"/>
  <c r="R209" i="5"/>
  <c r="Q210" i="5"/>
  <c r="R210" i="5"/>
  <c r="Q211" i="5"/>
  <c r="R211" i="5"/>
  <c r="Q212" i="5"/>
  <c r="R212" i="5"/>
  <c r="Q213" i="5"/>
  <c r="R213" i="5"/>
  <c r="Q214" i="5"/>
  <c r="R214" i="5"/>
  <c r="Q215" i="5"/>
  <c r="R215" i="5"/>
  <c r="Q216" i="5"/>
  <c r="R216" i="5"/>
  <c r="Q217" i="5"/>
  <c r="R217" i="5"/>
  <c r="Q218" i="5"/>
  <c r="R218" i="5"/>
  <c r="Q219" i="5"/>
  <c r="R219" i="5"/>
  <c r="Q220" i="5"/>
  <c r="R220" i="5"/>
  <c r="Q221" i="5"/>
  <c r="R221" i="5"/>
  <c r="Q222" i="5"/>
  <c r="R222" i="5"/>
  <c r="Q223" i="5"/>
  <c r="R223" i="5"/>
  <c r="Q224" i="5"/>
  <c r="R224" i="5"/>
  <c r="Q225" i="5"/>
  <c r="R225" i="5"/>
  <c r="Q226" i="5"/>
  <c r="R226" i="5"/>
  <c r="Q227" i="5"/>
  <c r="R227" i="5"/>
  <c r="Q228" i="5"/>
  <c r="R228" i="5"/>
  <c r="Q229" i="5"/>
  <c r="R229" i="5"/>
  <c r="Q230" i="5"/>
  <c r="R230" i="5"/>
  <c r="Q231" i="5"/>
  <c r="R231" i="5"/>
  <c r="Q232" i="5"/>
  <c r="R232" i="5"/>
  <c r="Q233" i="5"/>
  <c r="R233" i="5"/>
  <c r="Q234" i="5"/>
  <c r="R234" i="5"/>
  <c r="Q235" i="5"/>
  <c r="R235" i="5"/>
  <c r="Q236" i="5"/>
  <c r="R236" i="5"/>
  <c r="Q237" i="5"/>
  <c r="R237" i="5"/>
  <c r="Q238" i="5"/>
  <c r="R238" i="5"/>
  <c r="Q239" i="5"/>
  <c r="R239" i="5"/>
  <c r="Q240" i="5"/>
  <c r="R240" i="5"/>
  <c r="Q241" i="5"/>
  <c r="R241" i="5"/>
  <c r="Q242" i="5"/>
  <c r="R242" i="5"/>
  <c r="Q243" i="5"/>
  <c r="R243" i="5"/>
  <c r="Q244" i="5"/>
  <c r="R244" i="5"/>
  <c r="Q245" i="5"/>
  <c r="R245" i="5"/>
  <c r="Q246" i="5"/>
  <c r="R246" i="5"/>
  <c r="Q247" i="5"/>
  <c r="R247" i="5"/>
  <c r="Q248" i="5"/>
  <c r="R248" i="5"/>
  <c r="Q249" i="5"/>
  <c r="R249" i="5"/>
  <c r="Q250" i="5"/>
  <c r="R250" i="5"/>
  <c r="Q251" i="5"/>
  <c r="R251" i="5"/>
  <c r="Q252" i="5"/>
  <c r="R252" i="5"/>
  <c r="Q253" i="5"/>
  <c r="R253" i="5"/>
  <c r="Q254" i="5"/>
  <c r="R254" i="5"/>
  <c r="Q255" i="5"/>
  <c r="R255" i="5"/>
  <c r="Q256" i="5"/>
  <c r="R256" i="5"/>
  <c r="Q257" i="5"/>
  <c r="R257" i="5"/>
  <c r="Q258" i="5"/>
  <c r="R258" i="5"/>
  <c r="Q259" i="5"/>
  <c r="R259" i="5"/>
  <c r="Q260" i="5"/>
  <c r="R260" i="5"/>
  <c r="Q261" i="5"/>
  <c r="R261" i="5"/>
  <c r="Q262" i="5"/>
  <c r="R262" i="5"/>
  <c r="Q263" i="5"/>
  <c r="R263" i="5"/>
  <c r="Q264" i="5"/>
  <c r="R264" i="5"/>
  <c r="Q265" i="5"/>
  <c r="R265" i="5"/>
  <c r="Q266" i="5"/>
  <c r="R266" i="5"/>
  <c r="Q267" i="5"/>
  <c r="R267" i="5"/>
  <c r="Q268" i="5"/>
  <c r="R268" i="5"/>
  <c r="Q269" i="5"/>
  <c r="R269" i="5"/>
  <c r="Q270" i="5"/>
  <c r="R270" i="5"/>
  <c r="Q271" i="5"/>
  <c r="R271" i="5"/>
  <c r="Q272" i="5"/>
  <c r="R272" i="5"/>
  <c r="Q273" i="5"/>
  <c r="R273" i="5"/>
  <c r="Q274" i="5"/>
  <c r="R274" i="5"/>
  <c r="Q275" i="5"/>
  <c r="R275" i="5"/>
  <c r="Q276" i="5"/>
  <c r="R276" i="5"/>
  <c r="Q277" i="5"/>
  <c r="R277" i="5"/>
  <c r="Q278" i="5"/>
  <c r="R278" i="5"/>
  <c r="Q279" i="5"/>
  <c r="R279" i="5"/>
  <c r="Q280" i="5"/>
  <c r="R280" i="5"/>
  <c r="Q281" i="5"/>
  <c r="R281" i="5"/>
  <c r="Q282" i="5"/>
  <c r="R282" i="5"/>
  <c r="Q283" i="5"/>
  <c r="R283" i="5"/>
  <c r="Q284" i="5"/>
  <c r="R284" i="5"/>
  <c r="Q285" i="5"/>
  <c r="R285" i="5"/>
  <c r="Q286" i="5"/>
  <c r="R286" i="5"/>
  <c r="Q287" i="5"/>
  <c r="R287" i="5"/>
  <c r="Q288" i="5"/>
  <c r="R288" i="5"/>
  <c r="Q289" i="5"/>
  <c r="R289" i="5"/>
  <c r="Q290" i="5"/>
  <c r="R290" i="5"/>
  <c r="Q291" i="5"/>
  <c r="R291" i="5"/>
  <c r="Q292" i="5"/>
  <c r="R292" i="5"/>
  <c r="Q293" i="5"/>
  <c r="R293" i="5"/>
  <c r="Q294" i="5"/>
  <c r="R294" i="5"/>
  <c r="Q295" i="5"/>
  <c r="R295" i="5"/>
  <c r="Q296" i="5"/>
  <c r="R296" i="5"/>
  <c r="Q297" i="5"/>
  <c r="R297" i="5"/>
  <c r="Q298" i="5"/>
  <c r="R298" i="5"/>
  <c r="Q299" i="5"/>
  <c r="R299" i="5"/>
  <c r="Q300" i="5"/>
  <c r="R300" i="5"/>
  <c r="Q301" i="5"/>
  <c r="R301" i="5"/>
  <c r="Q302" i="5"/>
  <c r="R302" i="5"/>
  <c r="Q303" i="5"/>
  <c r="R303" i="5"/>
  <c r="Q304" i="5"/>
  <c r="R304" i="5"/>
  <c r="Q305" i="5"/>
  <c r="R305" i="5"/>
  <c r="Q306" i="5"/>
  <c r="R306" i="5"/>
  <c r="Q307" i="5"/>
  <c r="R307" i="5"/>
  <c r="Q308" i="5"/>
  <c r="R308" i="5"/>
  <c r="Q309" i="5"/>
  <c r="R309" i="5"/>
  <c r="Q310" i="5"/>
  <c r="R310" i="5"/>
  <c r="Q311" i="5"/>
  <c r="R311" i="5"/>
  <c r="Q312" i="5"/>
  <c r="R312" i="5"/>
  <c r="Q313" i="5"/>
  <c r="R313" i="5"/>
  <c r="Q314" i="5"/>
  <c r="R314" i="5"/>
  <c r="Q315" i="5"/>
  <c r="R315" i="5"/>
  <c r="Q316" i="5"/>
  <c r="R316" i="5"/>
  <c r="Q317" i="5"/>
  <c r="R317" i="5"/>
  <c r="Q318" i="5"/>
  <c r="R318" i="5"/>
  <c r="Q319" i="5"/>
  <c r="R319" i="5"/>
  <c r="Q320" i="5"/>
  <c r="R320" i="5"/>
  <c r="Q321" i="5"/>
  <c r="R321" i="5"/>
  <c r="Q322" i="5"/>
  <c r="R322" i="5"/>
  <c r="Q323" i="5"/>
  <c r="R323" i="5"/>
  <c r="Q324" i="5"/>
  <c r="R324" i="5"/>
  <c r="Q325" i="5"/>
  <c r="R325" i="5"/>
  <c r="Q326" i="5"/>
  <c r="R326" i="5"/>
  <c r="Q327" i="5"/>
  <c r="R327" i="5"/>
  <c r="Q328" i="5"/>
  <c r="R328" i="5"/>
  <c r="Q329" i="5"/>
  <c r="R329" i="5"/>
  <c r="Q330" i="5"/>
  <c r="R330" i="5"/>
  <c r="Q331" i="5"/>
  <c r="R331" i="5"/>
  <c r="Q332" i="5"/>
  <c r="R332" i="5"/>
  <c r="Q333" i="5"/>
  <c r="R333" i="5"/>
  <c r="Q334" i="5"/>
  <c r="R334" i="5"/>
  <c r="Q335" i="5"/>
  <c r="R335" i="5"/>
  <c r="Q336" i="5"/>
  <c r="R336" i="5"/>
  <c r="Q337" i="5"/>
  <c r="R337" i="5"/>
  <c r="Q338" i="5"/>
  <c r="R338" i="5"/>
  <c r="Q339" i="5"/>
  <c r="R339" i="5"/>
  <c r="Q340" i="5"/>
  <c r="R340" i="5"/>
  <c r="Q341" i="5"/>
  <c r="R341" i="5"/>
  <c r="Q342" i="5"/>
  <c r="R342" i="5"/>
  <c r="Q343" i="5"/>
  <c r="R343" i="5"/>
  <c r="Q344" i="5"/>
  <c r="R344" i="5"/>
  <c r="Q345" i="5"/>
  <c r="R345" i="5"/>
  <c r="Q346" i="5"/>
  <c r="R346" i="5"/>
  <c r="Q347" i="5"/>
  <c r="R347" i="5"/>
  <c r="Q348" i="5"/>
  <c r="R348" i="5"/>
  <c r="Q349" i="5"/>
  <c r="R349" i="5"/>
  <c r="Q350" i="5"/>
  <c r="R350" i="5"/>
  <c r="Q351" i="5"/>
  <c r="R351" i="5"/>
  <c r="Q352" i="5"/>
  <c r="R352" i="5"/>
  <c r="Q353" i="5"/>
  <c r="R353" i="5"/>
  <c r="Q354" i="5"/>
  <c r="R354" i="5"/>
  <c r="Q355" i="5"/>
  <c r="R355" i="5"/>
  <c r="Q356" i="5"/>
  <c r="R356" i="5"/>
  <c r="Q357" i="5"/>
  <c r="R357" i="5"/>
  <c r="Q358" i="5"/>
  <c r="R358" i="5"/>
  <c r="Q359" i="5"/>
  <c r="R359" i="5"/>
  <c r="Q360" i="5"/>
  <c r="R360" i="5"/>
  <c r="Q361" i="5"/>
  <c r="R361" i="5"/>
  <c r="Q362" i="5"/>
  <c r="R362" i="5"/>
  <c r="Q363" i="5"/>
  <c r="R363" i="5"/>
  <c r="Q364" i="5"/>
  <c r="R364" i="5"/>
  <c r="Q365" i="5"/>
  <c r="R365" i="5"/>
  <c r="Q366" i="5"/>
  <c r="R366" i="5"/>
  <c r="Q367" i="5"/>
  <c r="R367" i="5"/>
  <c r="Q368" i="5"/>
  <c r="R368" i="5"/>
  <c r="Q369" i="5"/>
  <c r="R369" i="5"/>
  <c r="Q370" i="5"/>
  <c r="R370" i="5"/>
  <c r="Q371" i="5"/>
  <c r="R371" i="5"/>
  <c r="Q372" i="5"/>
  <c r="R372" i="5"/>
  <c r="Q373" i="5"/>
  <c r="R373" i="5"/>
  <c r="Q374" i="5"/>
  <c r="R374" i="5"/>
  <c r="Q375" i="5"/>
  <c r="R375" i="5"/>
  <c r="Q376" i="5"/>
  <c r="R376" i="5"/>
  <c r="Q377" i="5"/>
  <c r="R377" i="5"/>
  <c r="Q378" i="5"/>
  <c r="R378" i="5"/>
  <c r="Q379" i="5"/>
  <c r="R379" i="5"/>
  <c r="Q380" i="5"/>
  <c r="R380" i="5"/>
  <c r="Q381" i="5"/>
  <c r="R381" i="5"/>
  <c r="Q382" i="5"/>
  <c r="R382" i="5"/>
  <c r="Q383" i="5"/>
  <c r="R383" i="5"/>
  <c r="Q384" i="5"/>
  <c r="R384" i="5"/>
  <c r="Q385" i="5"/>
  <c r="R385" i="5"/>
  <c r="Q386" i="5"/>
  <c r="R386" i="5"/>
  <c r="Q387" i="5"/>
  <c r="R387" i="5"/>
  <c r="Q388" i="5"/>
  <c r="R388" i="5"/>
  <c r="Q389" i="5"/>
  <c r="R389" i="5"/>
  <c r="Q390" i="5"/>
  <c r="R390" i="5"/>
  <c r="Q391" i="5"/>
  <c r="R391" i="5"/>
  <c r="Q392" i="5"/>
  <c r="R392" i="5"/>
  <c r="Q393" i="5"/>
  <c r="R393" i="5"/>
  <c r="Q394" i="5"/>
  <c r="R394" i="5"/>
  <c r="Q395" i="5"/>
  <c r="R395" i="5"/>
  <c r="Q396" i="5"/>
  <c r="R396" i="5"/>
  <c r="Q397" i="5"/>
  <c r="R397" i="5"/>
  <c r="Q398" i="5"/>
  <c r="R398" i="5"/>
  <c r="Q399" i="5"/>
  <c r="R399" i="5"/>
  <c r="Q400" i="5"/>
  <c r="R400" i="5"/>
  <c r="Q401" i="5"/>
  <c r="R401" i="5"/>
  <c r="Q402" i="5"/>
  <c r="R402" i="5"/>
  <c r="Q403" i="5"/>
  <c r="R403" i="5"/>
  <c r="Q404" i="5"/>
  <c r="R404" i="5"/>
  <c r="Q405" i="5"/>
  <c r="R405" i="5"/>
  <c r="Q406" i="5"/>
  <c r="R406" i="5"/>
  <c r="Q407" i="5"/>
  <c r="R407" i="5"/>
  <c r="Q408" i="5"/>
  <c r="R408" i="5"/>
  <c r="Q409" i="5"/>
  <c r="R409" i="5"/>
  <c r="Q410" i="5"/>
  <c r="R410" i="5"/>
  <c r="Q411" i="5"/>
  <c r="R411" i="5"/>
  <c r="Q412" i="5"/>
  <c r="R412" i="5"/>
  <c r="Q413" i="5"/>
  <c r="R413" i="5"/>
  <c r="Q414" i="5"/>
  <c r="R414" i="5"/>
  <c r="Q415" i="5"/>
  <c r="R415" i="5"/>
  <c r="Q416" i="5"/>
  <c r="R416" i="5"/>
  <c r="Q417" i="5"/>
  <c r="R417" i="5"/>
  <c r="Q418" i="5"/>
  <c r="R418" i="5"/>
  <c r="Q419" i="5"/>
  <c r="R419" i="5"/>
  <c r="Q420" i="5"/>
  <c r="R420" i="5"/>
  <c r="Q421" i="5"/>
  <c r="R421" i="5"/>
  <c r="Q422" i="5"/>
  <c r="R422" i="5"/>
  <c r="Q423" i="5"/>
  <c r="R423" i="5"/>
  <c r="Q424" i="5"/>
  <c r="R424" i="5"/>
  <c r="Q425" i="5"/>
  <c r="R425" i="5"/>
  <c r="Q426" i="5"/>
  <c r="R426" i="5"/>
  <c r="Q427" i="5"/>
  <c r="R427" i="5"/>
  <c r="Q428" i="5"/>
  <c r="R428" i="5"/>
  <c r="Q429" i="5"/>
  <c r="R429" i="5"/>
  <c r="Q430" i="5"/>
  <c r="R430" i="5"/>
  <c r="Q431" i="5"/>
  <c r="R431" i="5"/>
  <c r="Q432" i="5"/>
  <c r="R432" i="5"/>
  <c r="Q433" i="5"/>
  <c r="R433" i="5"/>
  <c r="Q434" i="5"/>
  <c r="R434" i="5"/>
  <c r="Q435" i="5"/>
  <c r="R435" i="5"/>
  <c r="Q436" i="5"/>
  <c r="R436" i="5"/>
  <c r="Q437" i="5"/>
  <c r="R437" i="5"/>
  <c r="Q438" i="5"/>
  <c r="R438" i="5"/>
  <c r="Q439" i="5"/>
  <c r="R439" i="5"/>
  <c r="Q440" i="5"/>
  <c r="R440" i="5"/>
  <c r="Q441" i="5"/>
  <c r="R441" i="5"/>
  <c r="Q442" i="5"/>
  <c r="R442" i="5"/>
  <c r="Q443" i="5"/>
  <c r="R443" i="5"/>
  <c r="Q444" i="5"/>
  <c r="R444" i="5"/>
  <c r="Q445" i="5"/>
  <c r="R445" i="5"/>
  <c r="Q446" i="5"/>
  <c r="R446" i="5"/>
  <c r="Q447" i="5"/>
  <c r="R447" i="5"/>
  <c r="Q448" i="5"/>
  <c r="R448" i="5"/>
  <c r="Q449" i="5"/>
  <c r="R449" i="5"/>
  <c r="Q450" i="5"/>
  <c r="R450" i="5"/>
  <c r="Q451" i="5"/>
  <c r="R451" i="5"/>
  <c r="Q452" i="5"/>
  <c r="R452" i="5"/>
  <c r="Q453" i="5"/>
  <c r="R453" i="5"/>
  <c r="Q454" i="5"/>
  <c r="R454" i="5"/>
  <c r="Q455" i="5"/>
  <c r="R455" i="5"/>
  <c r="Q456" i="5"/>
  <c r="R456" i="5"/>
  <c r="Q457" i="5"/>
  <c r="R457" i="5"/>
  <c r="Q458" i="5"/>
  <c r="R458" i="5"/>
  <c r="Q459" i="5"/>
  <c r="R459" i="5"/>
  <c r="Q460" i="5"/>
  <c r="R460" i="5"/>
  <c r="Q461" i="5"/>
  <c r="R461" i="5"/>
  <c r="Q462" i="5"/>
  <c r="R462" i="5"/>
  <c r="Q463" i="5"/>
  <c r="R463" i="5"/>
  <c r="Q464" i="5"/>
  <c r="R464" i="5"/>
  <c r="Q465" i="5"/>
  <c r="R465" i="5"/>
  <c r="Q466" i="5"/>
  <c r="R466" i="5"/>
  <c r="Q467" i="5"/>
  <c r="R467" i="5"/>
  <c r="Q468" i="5"/>
  <c r="R468" i="5"/>
  <c r="Q469" i="5"/>
  <c r="R469" i="5"/>
  <c r="Q470" i="5"/>
  <c r="R470" i="5"/>
  <c r="Q471" i="5"/>
  <c r="R471" i="5"/>
  <c r="Q472" i="5"/>
  <c r="R472" i="5"/>
  <c r="Q473" i="5"/>
  <c r="R473" i="5"/>
  <c r="Q474" i="5"/>
  <c r="R474" i="5"/>
  <c r="Q475" i="5"/>
  <c r="R475" i="5"/>
  <c r="Q476" i="5"/>
  <c r="R476" i="5"/>
  <c r="Q477" i="5"/>
  <c r="R477" i="5"/>
  <c r="Q478" i="5"/>
  <c r="R478" i="5"/>
  <c r="Q479" i="5"/>
  <c r="R479" i="5"/>
  <c r="Q480" i="5"/>
  <c r="R480" i="5"/>
  <c r="Q481" i="5"/>
  <c r="R481" i="5"/>
  <c r="Q482" i="5"/>
  <c r="R482" i="5"/>
  <c r="Q483" i="5"/>
  <c r="R483" i="5"/>
  <c r="Q484" i="5"/>
  <c r="R484" i="5"/>
  <c r="Q485" i="5"/>
  <c r="R485" i="5"/>
  <c r="Q486" i="5"/>
  <c r="R486" i="5"/>
  <c r="Q487" i="5"/>
  <c r="R487" i="5"/>
  <c r="Q488" i="5"/>
  <c r="R488" i="5"/>
  <c r="Q489" i="5"/>
  <c r="R489" i="5"/>
  <c r="Q490" i="5"/>
  <c r="R490" i="5"/>
  <c r="Q491" i="5"/>
  <c r="R491" i="5"/>
  <c r="Q492" i="5"/>
  <c r="R492" i="5"/>
  <c r="Q493" i="5"/>
  <c r="R493" i="5"/>
  <c r="Q494" i="5"/>
  <c r="R494" i="5"/>
  <c r="Q495" i="5"/>
  <c r="R495" i="5"/>
  <c r="Q496" i="5"/>
  <c r="R496" i="5"/>
  <c r="Q497" i="5"/>
  <c r="R497" i="5"/>
  <c r="Q498" i="5"/>
  <c r="R498" i="5"/>
  <c r="Q499" i="5"/>
  <c r="R499" i="5"/>
  <c r="Q500" i="5"/>
  <c r="R500" i="5"/>
  <c r="Q501" i="5"/>
  <c r="R501" i="5"/>
  <c r="Q502" i="5"/>
  <c r="R502" i="5"/>
  <c r="Q503" i="5"/>
  <c r="R503" i="5"/>
  <c r="Q504" i="5"/>
  <c r="R504" i="5"/>
  <c r="Q505" i="5"/>
  <c r="R505" i="5"/>
  <c r="Q506" i="5"/>
  <c r="R506" i="5"/>
  <c r="Q507" i="5"/>
  <c r="R507" i="5"/>
  <c r="Q508" i="5"/>
  <c r="R508" i="5"/>
  <c r="Q509" i="5"/>
  <c r="R509" i="5"/>
  <c r="Q510" i="5"/>
  <c r="R510" i="5"/>
  <c r="Q511" i="5"/>
  <c r="R511" i="5"/>
  <c r="Q512" i="5"/>
  <c r="R512" i="5"/>
  <c r="Q513" i="5"/>
  <c r="R513" i="5"/>
  <c r="Q514" i="5"/>
  <c r="R514" i="5"/>
  <c r="Q515" i="5"/>
  <c r="R515" i="5"/>
  <c r="Q516" i="5"/>
  <c r="R516" i="5"/>
  <c r="Q517" i="5"/>
  <c r="R517" i="5"/>
  <c r="Q518" i="5"/>
  <c r="R518" i="5"/>
  <c r="Q519" i="5"/>
  <c r="R519" i="5"/>
  <c r="Q520" i="5"/>
  <c r="R520" i="5"/>
  <c r="Q521" i="5"/>
  <c r="R521" i="5"/>
  <c r="Q522" i="5"/>
  <c r="R522" i="5"/>
  <c r="Q523" i="5"/>
  <c r="R523" i="5"/>
  <c r="Q524" i="5"/>
  <c r="R524" i="5"/>
  <c r="Q525" i="5"/>
  <c r="R525" i="5"/>
  <c r="Q526" i="5"/>
  <c r="R526" i="5"/>
  <c r="Q527" i="5"/>
  <c r="R527" i="5"/>
  <c r="Q528" i="5"/>
  <c r="R528" i="5"/>
  <c r="Q529" i="5"/>
  <c r="R529" i="5"/>
  <c r="Q530" i="5"/>
  <c r="R530" i="5"/>
  <c r="Q531" i="5"/>
  <c r="R531" i="5"/>
  <c r="Q532" i="5"/>
  <c r="R532" i="5"/>
  <c r="Q533" i="5"/>
  <c r="R533" i="5"/>
  <c r="Q534" i="5"/>
  <c r="R534" i="5"/>
  <c r="Q535" i="5"/>
  <c r="R535" i="5"/>
  <c r="Q536" i="5"/>
  <c r="R536" i="5"/>
  <c r="Q537" i="5"/>
  <c r="R537" i="5"/>
  <c r="Q538" i="5"/>
  <c r="R538" i="5"/>
  <c r="Q539" i="5"/>
  <c r="R539" i="5"/>
  <c r="Q540" i="5"/>
  <c r="R540" i="5"/>
  <c r="Q541" i="5"/>
  <c r="R541" i="5"/>
  <c r="Q542" i="5"/>
  <c r="R542" i="5"/>
  <c r="Q543" i="5"/>
  <c r="R543" i="5"/>
  <c r="Q544" i="5"/>
  <c r="R544" i="5"/>
  <c r="Q545" i="5"/>
  <c r="R545" i="5"/>
  <c r="Q546" i="5"/>
  <c r="R546" i="5"/>
  <c r="Q547" i="5"/>
  <c r="R547" i="5"/>
  <c r="Q548" i="5"/>
  <c r="R548" i="5"/>
  <c r="Q549" i="5"/>
  <c r="R549" i="5"/>
  <c r="Q550" i="5"/>
  <c r="R550" i="5"/>
  <c r="Q551" i="5"/>
  <c r="R551" i="5"/>
  <c r="Q552" i="5"/>
  <c r="R552" i="5"/>
  <c r="Q553" i="5"/>
  <c r="R553" i="5"/>
  <c r="Q554" i="5"/>
  <c r="R554" i="5"/>
  <c r="Q555" i="5"/>
  <c r="R555" i="5"/>
  <c r="Q556" i="5"/>
  <c r="R556" i="5"/>
  <c r="Q557" i="5"/>
  <c r="R557" i="5"/>
  <c r="Q558" i="5"/>
  <c r="R558" i="5"/>
  <c r="Q559" i="5"/>
  <c r="R559" i="5"/>
  <c r="Q560" i="5"/>
  <c r="R560" i="5"/>
  <c r="Q561" i="5"/>
  <c r="R561" i="5"/>
  <c r="Q562" i="5"/>
  <c r="R562" i="5"/>
  <c r="Q563" i="5"/>
  <c r="R563" i="5"/>
  <c r="Q564" i="5"/>
  <c r="R564" i="5"/>
  <c r="Q565" i="5"/>
  <c r="R565" i="5"/>
  <c r="Q566" i="5"/>
  <c r="R566" i="5"/>
  <c r="Q567" i="5"/>
  <c r="R567" i="5"/>
  <c r="Q568" i="5"/>
  <c r="R568" i="5"/>
  <c r="Q569" i="5"/>
  <c r="R569" i="5"/>
  <c r="Q570" i="5"/>
  <c r="R570" i="5"/>
  <c r="Q571" i="5"/>
  <c r="R571" i="5"/>
  <c r="Q572" i="5"/>
  <c r="R572" i="5"/>
  <c r="Q573" i="5"/>
  <c r="R573" i="5"/>
  <c r="Q574" i="5"/>
  <c r="R574" i="5"/>
  <c r="Q575" i="5"/>
  <c r="R575" i="5"/>
  <c r="Q576" i="5"/>
  <c r="R576" i="5"/>
  <c r="Q577" i="5"/>
  <c r="R577" i="5"/>
  <c r="Q578" i="5"/>
  <c r="R578" i="5"/>
  <c r="Q579" i="5"/>
  <c r="R579" i="5"/>
  <c r="Q580" i="5"/>
  <c r="R580" i="5"/>
  <c r="Q581" i="5"/>
  <c r="R581" i="5"/>
  <c r="Q582" i="5"/>
  <c r="R582" i="5"/>
  <c r="Q583" i="5"/>
  <c r="R583" i="5"/>
  <c r="Q584" i="5"/>
  <c r="R584" i="5"/>
  <c r="Q585" i="5"/>
  <c r="R585" i="5"/>
  <c r="Q586" i="5"/>
  <c r="R586" i="5"/>
  <c r="Q587" i="5"/>
  <c r="R587" i="5"/>
  <c r="Q588" i="5"/>
  <c r="R588" i="5"/>
  <c r="Q589" i="5"/>
  <c r="R589" i="5"/>
  <c r="Q590" i="5"/>
  <c r="R590" i="5"/>
  <c r="Q591" i="5"/>
  <c r="R591" i="5"/>
  <c r="Q592" i="5"/>
  <c r="R592" i="5"/>
  <c r="Q593" i="5"/>
  <c r="R593" i="5"/>
  <c r="Q594" i="5"/>
  <c r="R594" i="5"/>
  <c r="Q595" i="5"/>
  <c r="R595" i="5"/>
  <c r="Q596" i="5"/>
  <c r="R596" i="5"/>
  <c r="Q597" i="5"/>
  <c r="R597" i="5"/>
  <c r="Q598" i="5"/>
  <c r="R598" i="5"/>
  <c r="Q599" i="5"/>
  <c r="R599" i="5"/>
  <c r="Q600" i="5"/>
  <c r="R600" i="5"/>
  <c r="Q601" i="5"/>
  <c r="R601" i="5"/>
  <c r="Q602" i="5"/>
  <c r="R602" i="5"/>
  <c r="Q603" i="5"/>
  <c r="R603" i="5"/>
  <c r="Q604" i="5"/>
  <c r="R604" i="5"/>
  <c r="Q605" i="5"/>
  <c r="R605" i="5"/>
  <c r="Q606" i="5"/>
  <c r="R606" i="5"/>
  <c r="Q607" i="5"/>
  <c r="R607" i="5"/>
  <c r="Q608" i="5"/>
  <c r="R608" i="5"/>
  <c r="Q609" i="5"/>
  <c r="R609" i="5"/>
  <c r="Q610" i="5"/>
  <c r="R610" i="5"/>
  <c r="Q611" i="5"/>
  <c r="R611" i="5"/>
  <c r="Q612" i="5"/>
  <c r="R612" i="5"/>
  <c r="Q613" i="5"/>
  <c r="R613" i="5"/>
  <c r="Q614" i="5"/>
  <c r="R614" i="5"/>
  <c r="Q615" i="5"/>
  <c r="R615" i="5"/>
  <c r="Q616" i="5"/>
  <c r="R616" i="5"/>
  <c r="Q617" i="5"/>
  <c r="R617" i="5"/>
  <c r="Q618" i="5"/>
  <c r="R618" i="5"/>
  <c r="Q619" i="5"/>
  <c r="R619" i="5"/>
  <c r="Q620" i="5"/>
  <c r="R620" i="5"/>
  <c r="Q621" i="5"/>
  <c r="R621" i="5"/>
  <c r="Q622" i="5"/>
  <c r="R622" i="5"/>
  <c r="Q623" i="5"/>
  <c r="R623" i="5"/>
  <c r="Q624" i="5"/>
  <c r="R624" i="5"/>
  <c r="Q625" i="5"/>
  <c r="R625" i="5"/>
  <c r="Q626" i="5"/>
  <c r="R626" i="5"/>
  <c r="Q627" i="5"/>
  <c r="R627" i="5"/>
  <c r="Q628" i="5"/>
  <c r="R628" i="5"/>
  <c r="Q629" i="5"/>
  <c r="R629" i="5"/>
  <c r="Q630" i="5"/>
  <c r="R630" i="5"/>
  <c r="Q631" i="5"/>
  <c r="R631" i="5"/>
  <c r="Q632" i="5"/>
  <c r="R632" i="5"/>
  <c r="Q633" i="5"/>
  <c r="R633" i="5"/>
  <c r="Q634" i="5"/>
  <c r="R634" i="5"/>
  <c r="Q635" i="5"/>
  <c r="R635" i="5"/>
  <c r="Q636" i="5"/>
  <c r="R636" i="5"/>
  <c r="Q637" i="5"/>
  <c r="R637" i="5"/>
  <c r="Q638" i="5"/>
  <c r="R638" i="5"/>
  <c r="Q639" i="5"/>
  <c r="R639" i="5"/>
  <c r="Q640" i="5"/>
  <c r="R640" i="5"/>
  <c r="Q641" i="5"/>
  <c r="R641" i="5"/>
  <c r="Q642" i="5"/>
  <c r="R642" i="5"/>
  <c r="Q643" i="5"/>
  <c r="R643" i="5"/>
  <c r="Q644" i="5"/>
  <c r="R644" i="5"/>
  <c r="Q645" i="5"/>
  <c r="R645" i="5"/>
  <c r="Q646" i="5"/>
  <c r="R646" i="5"/>
  <c r="Q647" i="5"/>
  <c r="R647" i="5"/>
  <c r="Q648" i="5"/>
  <c r="R648" i="5"/>
  <c r="Q649" i="5"/>
  <c r="R649" i="5"/>
  <c r="Q650" i="5"/>
  <c r="R650" i="5"/>
  <c r="Q651" i="5"/>
  <c r="R651" i="5"/>
  <c r="Q652" i="5"/>
  <c r="R652" i="5"/>
  <c r="Q653" i="5"/>
  <c r="R653" i="5"/>
  <c r="Q654" i="5"/>
  <c r="R654" i="5"/>
  <c r="Q655" i="5"/>
  <c r="R655" i="5"/>
  <c r="Q656" i="5"/>
  <c r="R656" i="5"/>
  <c r="Q657" i="5"/>
  <c r="R657" i="5"/>
  <c r="Q658" i="5"/>
  <c r="R658" i="5"/>
  <c r="Q659" i="5"/>
  <c r="R659" i="5"/>
  <c r="Q660" i="5"/>
  <c r="R660" i="5"/>
  <c r="Q661" i="5"/>
  <c r="R661" i="5"/>
  <c r="Q662" i="5"/>
  <c r="R662" i="5"/>
  <c r="Q663" i="5"/>
  <c r="R663" i="5"/>
  <c r="Q664" i="5"/>
  <c r="R664" i="5"/>
  <c r="Q665" i="5"/>
  <c r="R665" i="5"/>
  <c r="Q666" i="5"/>
  <c r="R666" i="5"/>
  <c r="Q667" i="5"/>
  <c r="R667" i="5"/>
  <c r="Q668" i="5"/>
  <c r="R668" i="5"/>
  <c r="Q669" i="5"/>
  <c r="R669" i="5"/>
  <c r="Q670" i="5"/>
  <c r="R670" i="5"/>
  <c r="Q671" i="5"/>
  <c r="R671" i="5"/>
  <c r="Q672" i="5"/>
  <c r="R672" i="5"/>
  <c r="Q673" i="5"/>
  <c r="R673" i="5"/>
  <c r="Q674" i="5"/>
  <c r="R674" i="5"/>
  <c r="Q675" i="5"/>
  <c r="R675" i="5"/>
  <c r="Q676" i="5"/>
  <c r="R676" i="5"/>
  <c r="Q677" i="5"/>
  <c r="R677" i="5"/>
  <c r="Q678" i="5"/>
  <c r="R678" i="5"/>
  <c r="Q679" i="5"/>
  <c r="R679" i="5"/>
  <c r="Q680" i="5"/>
  <c r="R680" i="5"/>
  <c r="Q681" i="5"/>
  <c r="R681" i="5"/>
  <c r="Q682" i="5"/>
  <c r="R682" i="5"/>
  <c r="Q683" i="5"/>
  <c r="R683" i="5"/>
  <c r="Q684" i="5"/>
  <c r="R684" i="5"/>
  <c r="Q685" i="5"/>
  <c r="R685" i="5"/>
  <c r="Q686" i="5"/>
  <c r="R686" i="5"/>
  <c r="Q687" i="5"/>
  <c r="R687" i="5"/>
  <c r="Q688" i="5"/>
  <c r="R688" i="5"/>
  <c r="Q689" i="5"/>
  <c r="R689" i="5"/>
  <c r="Q690" i="5"/>
  <c r="R690" i="5"/>
  <c r="Q691" i="5"/>
  <c r="R691" i="5"/>
  <c r="Q692" i="5"/>
  <c r="R692" i="5"/>
  <c r="Q693" i="5"/>
  <c r="R693" i="5"/>
  <c r="Q694" i="5"/>
  <c r="R694" i="5"/>
  <c r="Q695" i="5"/>
  <c r="R695" i="5"/>
  <c r="Q696" i="5"/>
  <c r="R696" i="5"/>
  <c r="Q697" i="5"/>
  <c r="R697" i="5"/>
  <c r="Q698" i="5"/>
  <c r="R698" i="5"/>
  <c r="Q699" i="5"/>
  <c r="R699" i="5"/>
  <c r="Q700" i="5"/>
  <c r="R700" i="5"/>
  <c r="Q701" i="5"/>
  <c r="R701" i="5"/>
  <c r="Q702" i="5"/>
  <c r="R702" i="5"/>
  <c r="Q703" i="5"/>
  <c r="R703" i="5"/>
  <c r="Q704" i="5"/>
  <c r="R704" i="5"/>
  <c r="Q705" i="5"/>
  <c r="R705" i="5"/>
  <c r="Q706" i="5"/>
  <c r="R706" i="5"/>
  <c r="Q707" i="5"/>
  <c r="R707" i="5"/>
  <c r="Q708" i="5"/>
  <c r="R708" i="5"/>
  <c r="Q709" i="5"/>
  <c r="R709" i="5"/>
  <c r="Q710" i="5"/>
  <c r="R710" i="5"/>
  <c r="Q711" i="5"/>
  <c r="R711" i="5"/>
  <c r="Q712" i="5"/>
  <c r="R712" i="5"/>
  <c r="Q713" i="5"/>
  <c r="R713" i="5"/>
  <c r="Q714" i="5"/>
  <c r="R714" i="5"/>
  <c r="Q715" i="5"/>
  <c r="R715" i="5"/>
  <c r="Q716" i="5"/>
  <c r="R716" i="5"/>
  <c r="Q717" i="5"/>
  <c r="R717" i="5"/>
  <c r="Q718" i="5"/>
  <c r="R718" i="5"/>
  <c r="Q719" i="5"/>
  <c r="R719" i="5"/>
  <c r="Q720" i="5"/>
  <c r="R720" i="5"/>
  <c r="Q721" i="5"/>
  <c r="R721" i="5"/>
  <c r="Q722" i="5"/>
  <c r="R722" i="5"/>
  <c r="Q723" i="5"/>
  <c r="R723" i="5"/>
  <c r="Q724" i="5"/>
  <c r="R724" i="5"/>
  <c r="Q725" i="5"/>
  <c r="R725" i="5"/>
  <c r="Q726" i="5"/>
  <c r="R726" i="5"/>
  <c r="Q727" i="5"/>
  <c r="R727" i="5"/>
  <c r="Q728" i="5"/>
  <c r="R728" i="5"/>
  <c r="Q729" i="5"/>
  <c r="R729" i="5"/>
  <c r="Q730" i="5"/>
  <c r="R730" i="5"/>
  <c r="Q731" i="5"/>
  <c r="R731" i="5"/>
  <c r="Q732" i="5"/>
  <c r="R732" i="5"/>
  <c r="Q733" i="5"/>
  <c r="R733" i="5"/>
  <c r="Q734" i="5"/>
  <c r="R734" i="5"/>
  <c r="Q735" i="5"/>
  <c r="R735" i="5"/>
  <c r="Q736" i="5"/>
  <c r="R736" i="5"/>
  <c r="Q737" i="5"/>
  <c r="R737" i="5"/>
  <c r="Q738" i="5"/>
  <c r="R738" i="5"/>
  <c r="Q739" i="5"/>
  <c r="R739" i="5"/>
  <c r="Q740" i="5"/>
  <c r="R740" i="5"/>
  <c r="Q741" i="5"/>
  <c r="R741" i="5"/>
  <c r="Q742" i="5"/>
  <c r="R742" i="5"/>
  <c r="Q743" i="5"/>
  <c r="R743" i="5"/>
  <c r="Q744" i="5"/>
  <c r="R744" i="5"/>
  <c r="Q745" i="5"/>
  <c r="R745" i="5"/>
  <c r="Q746" i="5"/>
  <c r="R746" i="5"/>
  <c r="Q747" i="5"/>
  <c r="R747" i="5"/>
  <c r="Q748" i="5"/>
  <c r="R748" i="5"/>
  <c r="Q749" i="5"/>
  <c r="R749" i="5"/>
  <c r="Q750" i="5"/>
  <c r="R750" i="5"/>
  <c r="Q751" i="5"/>
  <c r="R751" i="5"/>
  <c r="Q752" i="5"/>
  <c r="R752" i="5"/>
  <c r="Q753" i="5"/>
  <c r="R753" i="5"/>
  <c r="Q754" i="5"/>
  <c r="R754" i="5"/>
  <c r="Q755" i="5"/>
  <c r="R755" i="5"/>
  <c r="Q756" i="5"/>
  <c r="R756" i="5"/>
  <c r="Q757" i="5"/>
  <c r="R757" i="5"/>
  <c r="Q758" i="5"/>
  <c r="R758" i="5"/>
  <c r="Q759" i="5"/>
  <c r="R759" i="5"/>
  <c r="Q760" i="5"/>
  <c r="R760" i="5"/>
  <c r="Q761" i="5"/>
  <c r="R761" i="5"/>
  <c r="Q762" i="5"/>
  <c r="R762" i="5"/>
  <c r="Q763" i="5"/>
  <c r="R763" i="5"/>
  <c r="Q764" i="5"/>
  <c r="R764" i="5"/>
  <c r="Q765" i="5"/>
  <c r="R765" i="5"/>
  <c r="Q766" i="5"/>
  <c r="R766" i="5"/>
  <c r="Q767" i="5"/>
  <c r="R767" i="5"/>
  <c r="Q768" i="5"/>
  <c r="R768" i="5"/>
  <c r="Q769" i="5"/>
  <c r="R769" i="5"/>
  <c r="Q770" i="5"/>
  <c r="R770" i="5"/>
  <c r="Q771" i="5"/>
  <c r="R771" i="5"/>
  <c r="Q772" i="5"/>
  <c r="R772" i="5"/>
  <c r="Q773" i="5"/>
  <c r="R773" i="5"/>
  <c r="Q774" i="5"/>
  <c r="R774" i="5"/>
  <c r="Q775" i="5"/>
  <c r="R775" i="5"/>
  <c r="Q776" i="5"/>
  <c r="R776" i="5"/>
  <c r="Q777" i="5"/>
  <c r="R777" i="5"/>
  <c r="Q778" i="5"/>
  <c r="R778" i="5"/>
  <c r="Q779" i="5"/>
  <c r="R779" i="5"/>
  <c r="Q780" i="5"/>
  <c r="R780" i="5"/>
  <c r="Q781" i="5"/>
  <c r="R781" i="5"/>
  <c r="Q782" i="5"/>
  <c r="R782" i="5"/>
  <c r="Q783" i="5"/>
  <c r="R783" i="5"/>
  <c r="Q784" i="5"/>
  <c r="R784" i="5"/>
  <c r="Q785" i="5"/>
  <c r="R785" i="5"/>
  <c r="Q786" i="5"/>
  <c r="R786" i="5"/>
  <c r="Q787" i="5"/>
  <c r="R787" i="5"/>
  <c r="Q788" i="5"/>
  <c r="R788" i="5"/>
  <c r="Q789" i="5"/>
  <c r="R789" i="5"/>
  <c r="Q790" i="5"/>
  <c r="R790" i="5"/>
  <c r="Q791" i="5"/>
  <c r="R791" i="5"/>
  <c r="Q792" i="5"/>
  <c r="R792" i="5"/>
  <c r="Q793" i="5"/>
  <c r="R793" i="5"/>
  <c r="Q794" i="5"/>
  <c r="R794" i="5"/>
  <c r="Q795" i="5"/>
  <c r="R795" i="5"/>
  <c r="Q796" i="5"/>
  <c r="R796" i="5"/>
  <c r="Q797" i="5"/>
  <c r="R797" i="5"/>
  <c r="Q798" i="5"/>
  <c r="R798" i="5"/>
  <c r="Q799" i="5"/>
  <c r="R799" i="5"/>
  <c r="Q800" i="5"/>
  <c r="R800" i="5"/>
  <c r="Q801" i="5"/>
  <c r="R801" i="5"/>
  <c r="Q802" i="5"/>
  <c r="R802" i="5"/>
  <c r="Q803" i="5"/>
  <c r="R803" i="5"/>
  <c r="Q804" i="5"/>
  <c r="R804" i="5"/>
  <c r="Q805" i="5"/>
  <c r="R805" i="5"/>
  <c r="Q806" i="5"/>
  <c r="R806" i="5"/>
  <c r="Q807" i="5"/>
  <c r="R807" i="5"/>
  <c r="Q808" i="5"/>
  <c r="R808" i="5"/>
  <c r="Q809" i="5"/>
  <c r="R809" i="5"/>
  <c r="Q810" i="5"/>
  <c r="R810" i="5"/>
  <c r="Q811" i="5"/>
  <c r="R811" i="5"/>
  <c r="Q812" i="5"/>
  <c r="R812" i="5"/>
  <c r="Q813" i="5"/>
  <c r="R813" i="5"/>
  <c r="Q814" i="5"/>
  <c r="R814" i="5"/>
  <c r="Q815" i="5"/>
  <c r="R815" i="5"/>
  <c r="Q816" i="5"/>
  <c r="R816" i="5"/>
  <c r="Q817" i="5"/>
  <c r="R817" i="5"/>
  <c r="Q818" i="5"/>
  <c r="R818" i="5"/>
  <c r="Q819" i="5"/>
  <c r="R819" i="5"/>
  <c r="Q820" i="5"/>
  <c r="R820" i="5"/>
  <c r="Q821" i="5"/>
  <c r="R821" i="5"/>
  <c r="Q822" i="5"/>
  <c r="R822" i="5"/>
  <c r="Q823" i="5"/>
  <c r="R823" i="5"/>
  <c r="Q824" i="5"/>
  <c r="R824" i="5"/>
  <c r="Q825" i="5"/>
  <c r="R825" i="5"/>
  <c r="Q826" i="5"/>
  <c r="R826" i="5"/>
  <c r="Q827" i="5"/>
  <c r="R827" i="5"/>
  <c r="Q828" i="5"/>
  <c r="R828" i="5"/>
  <c r="Q829" i="5"/>
  <c r="R829" i="5"/>
  <c r="Q830" i="5"/>
  <c r="R830" i="5"/>
  <c r="Q831" i="5"/>
  <c r="R831" i="5"/>
  <c r="Q832" i="5"/>
  <c r="R832" i="5"/>
  <c r="Q833" i="5"/>
  <c r="R833" i="5"/>
  <c r="Q834" i="5"/>
  <c r="R834" i="5"/>
  <c r="Q835" i="5"/>
  <c r="R835" i="5"/>
  <c r="Q836" i="5"/>
  <c r="R836" i="5"/>
  <c r="Q837" i="5"/>
  <c r="R837" i="5"/>
  <c r="Q838" i="5"/>
  <c r="R838" i="5"/>
  <c r="Q839" i="5"/>
  <c r="R839" i="5"/>
  <c r="Q840" i="5"/>
  <c r="R840" i="5"/>
  <c r="Q841" i="5"/>
  <c r="R841" i="5"/>
  <c r="Q842" i="5"/>
  <c r="R842" i="5"/>
  <c r="Q843" i="5"/>
  <c r="R843" i="5"/>
  <c r="Q844" i="5"/>
  <c r="R844" i="5"/>
  <c r="Q845" i="5"/>
  <c r="R845" i="5"/>
  <c r="Q846" i="5"/>
  <c r="R846" i="5"/>
  <c r="Q847" i="5"/>
  <c r="R847" i="5"/>
  <c r="Q848" i="5"/>
  <c r="R848" i="5"/>
  <c r="Q849" i="5"/>
  <c r="R849" i="5"/>
  <c r="Q850" i="5"/>
  <c r="R850" i="5"/>
  <c r="Q851" i="5"/>
  <c r="R851" i="5"/>
  <c r="Q852" i="5"/>
  <c r="R852" i="5"/>
  <c r="Q853" i="5"/>
  <c r="R853" i="5"/>
  <c r="Q854" i="5"/>
  <c r="R854" i="5"/>
  <c r="Q855" i="5"/>
  <c r="R855" i="5"/>
  <c r="Q856" i="5"/>
  <c r="R856" i="5"/>
  <c r="Q857" i="5"/>
  <c r="R857" i="5"/>
  <c r="Q858" i="5"/>
  <c r="R858" i="5"/>
  <c r="Q859" i="5"/>
  <c r="R859" i="5"/>
  <c r="Q860" i="5"/>
  <c r="R860" i="5"/>
  <c r="Q861" i="5"/>
  <c r="R861" i="5"/>
  <c r="Q862" i="5"/>
  <c r="R862" i="5"/>
  <c r="Q863" i="5"/>
  <c r="R863" i="5"/>
  <c r="Q864" i="5"/>
  <c r="R864" i="5"/>
  <c r="Q865" i="5"/>
  <c r="R865" i="5"/>
  <c r="Q866" i="5"/>
  <c r="R866" i="5"/>
  <c r="Q867" i="5"/>
  <c r="R867" i="5"/>
  <c r="Q868" i="5"/>
  <c r="R868" i="5"/>
  <c r="Q869" i="5"/>
  <c r="R869" i="5"/>
  <c r="Q870" i="5"/>
  <c r="R870" i="5"/>
  <c r="Q871" i="5"/>
  <c r="R871" i="5"/>
  <c r="Q872" i="5"/>
  <c r="R872" i="5"/>
  <c r="Q873" i="5"/>
  <c r="R873" i="5"/>
  <c r="Q874" i="5"/>
  <c r="R874" i="5"/>
  <c r="Q875" i="5"/>
  <c r="R875" i="5"/>
  <c r="Q876" i="5"/>
  <c r="R876" i="5"/>
  <c r="Q877" i="5"/>
  <c r="R877" i="5"/>
  <c r="Q878" i="5"/>
  <c r="R878" i="5"/>
  <c r="Q879" i="5"/>
  <c r="R879" i="5"/>
  <c r="Q880" i="5"/>
  <c r="R880" i="5"/>
  <c r="Q881" i="5"/>
  <c r="R881" i="5"/>
  <c r="Q882" i="5"/>
  <c r="R882" i="5"/>
  <c r="Q883" i="5"/>
  <c r="R883" i="5"/>
  <c r="Q884" i="5"/>
  <c r="R884" i="5"/>
  <c r="Q885" i="5"/>
  <c r="R885" i="5"/>
  <c r="Q886" i="5"/>
  <c r="R886" i="5"/>
  <c r="Q887" i="5"/>
  <c r="R887" i="5"/>
  <c r="Q888" i="5"/>
  <c r="R888" i="5"/>
  <c r="Q889" i="5"/>
  <c r="R889" i="5"/>
  <c r="Q890" i="5"/>
  <c r="R890" i="5"/>
  <c r="Q891" i="5"/>
  <c r="R891" i="5"/>
  <c r="Q892" i="5"/>
  <c r="R892" i="5"/>
  <c r="Q893" i="5"/>
  <c r="R893" i="5"/>
  <c r="Q894" i="5"/>
  <c r="R894" i="5"/>
  <c r="Q895" i="5"/>
  <c r="R895" i="5"/>
  <c r="Q896" i="5"/>
  <c r="R896" i="5"/>
  <c r="Q897" i="5"/>
  <c r="R897" i="5"/>
  <c r="Q898" i="5"/>
  <c r="R898" i="5"/>
  <c r="Q899" i="5"/>
  <c r="R899" i="5"/>
  <c r="Q900" i="5"/>
  <c r="R900" i="5"/>
  <c r="Q901" i="5"/>
  <c r="R901" i="5"/>
  <c r="Q902" i="5"/>
  <c r="R902" i="5"/>
  <c r="Q903" i="5"/>
  <c r="R903" i="5"/>
  <c r="Q904" i="5"/>
  <c r="R904" i="5"/>
  <c r="Q905" i="5"/>
  <c r="R905" i="5"/>
  <c r="Q906" i="5"/>
  <c r="R906" i="5"/>
  <c r="Q907" i="5"/>
  <c r="R907" i="5"/>
  <c r="Q908" i="5"/>
  <c r="R908" i="5"/>
  <c r="Q909" i="5"/>
  <c r="R909" i="5"/>
  <c r="Q910" i="5"/>
  <c r="R910" i="5"/>
  <c r="Q911" i="5"/>
  <c r="R911" i="5"/>
  <c r="Q912" i="5"/>
  <c r="R912" i="5"/>
  <c r="Q913" i="5"/>
  <c r="R913" i="5"/>
  <c r="Q915" i="5"/>
  <c r="R915" i="5"/>
  <c r="Q916" i="5"/>
  <c r="R916" i="5"/>
  <c r="Q917" i="5"/>
  <c r="R917" i="5"/>
  <c r="Q918" i="5"/>
  <c r="R918" i="5"/>
  <c r="Q919" i="5"/>
  <c r="R919" i="5"/>
  <c r="Q920" i="5"/>
  <c r="R920" i="5"/>
  <c r="Q921" i="5"/>
  <c r="R921" i="5"/>
  <c r="Q922" i="5"/>
  <c r="R922" i="5"/>
  <c r="Q923" i="5"/>
  <c r="R923" i="5"/>
  <c r="Q924" i="5"/>
  <c r="R924" i="5"/>
  <c r="Q925" i="5"/>
  <c r="R925" i="5"/>
  <c r="Q926" i="5"/>
  <c r="R926" i="5"/>
  <c r="Q927" i="5"/>
  <c r="R927" i="5"/>
  <c r="Q928" i="5"/>
  <c r="R928" i="5"/>
  <c r="Q929" i="5"/>
  <c r="R929" i="5"/>
  <c r="Q930" i="5"/>
  <c r="R930" i="5"/>
  <c r="Q931" i="5"/>
  <c r="R931" i="5"/>
  <c r="Q932" i="5"/>
  <c r="R932" i="5"/>
  <c r="Q933" i="5"/>
  <c r="R933" i="5"/>
  <c r="Q934" i="5"/>
  <c r="R934" i="5"/>
  <c r="Q935" i="5"/>
  <c r="R935" i="5"/>
  <c r="Q936" i="5"/>
  <c r="R936" i="5"/>
  <c r="Q937" i="5"/>
  <c r="R937" i="5"/>
  <c r="Q938" i="5"/>
  <c r="R938" i="5"/>
  <c r="Q939" i="5"/>
  <c r="R939" i="5"/>
  <c r="Q940" i="5"/>
  <c r="R940" i="5"/>
  <c r="Q941" i="5"/>
  <c r="R941" i="5"/>
  <c r="Q942" i="5"/>
  <c r="R942" i="5"/>
  <c r="Q943" i="5"/>
  <c r="R943" i="5"/>
  <c r="Q944" i="5"/>
  <c r="R944" i="5"/>
  <c r="Q945" i="5"/>
  <c r="R945" i="5"/>
  <c r="Q946" i="5"/>
  <c r="R946" i="5"/>
  <c r="Q947" i="5"/>
  <c r="R947" i="5"/>
  <c r="Q948" i="5"/>
  <c r="R948" i="5"/>
  <c r="Q949" i="5"/>
  <c r="R949" i="5"/>
  <c r="Q950" i="5"/>
  <c r="R950" i="5"/>
  <c r="Q951" i="5"/>
  <c r="R951" i="5"/>
  <c r="Q952" i="5"/>
  <c r="R952" i="5"/>
  <c r="Q953" i="5"/>
  <c r="R953" i="5"/>
  <c r="Q954" i="5"/>
  <c r="R954" i="5"/>
  <c r="Q955" i="5"/>
  <c r="R955" i="5"/>
  <c r="Q956" i="5"/>
  <c r="R956" i="5"/>
  <c r="Q957" i="5"/>
  <c r="R957" i="5"/>
  <c r="Q958" i="5"/>
  <c r="R958" i="5"/>
  <c r="Q959" i="5"/>
  <c r="R959" i="5"/>
  <c r="Q960" i="5"/>
  <c r="R960" i="5"/>
  <c r="Q961" i="5"/>
  <c r="R961" i="5"/>
  <c r="Q962" i="5"/>
  <c r="R962" i="5"/>
  <c r="Q963" i="5"/>
  <c r="R963" i="5"/>
  <c r="Q964" i="5"/>
  <c r="R964" i="5"/>
  <c r="Q965" i="5"/>
  <c r="R965" i="5"/>
  <c r="Q966" i="5"/>
  <c r="R966" i="5"/>
  <c r="Q967" i="5"/>
  <c r="R967" i="5"/>
  <c r="Q968" i="5"/>
  <c r="R968" i="5"/>
  <c r="Q969" i="5"/>
  <c r="R969" i="5"/>
  <c r="Q970" i="5"/>
  <c r="R970" i="5"/>
  <c r="Q971" i="5"/>
  <c r="R971" i="5"/>
  <c r="Q972" i="5"/>
  <c r="R972" i="5"/>
  <c r="Q973" i="5"/>
  <c r="R973" i="5"/>
  <c r="Q974" i="5"/>
  <c r="R974" i="5"/>
  <c r="Q975" i="5"/>
  <c r="R975" i="5"/>
  <c r="Q976" i="5"/>
  <c r="R976" i="5"/>
  <c r="Q977" i="5"/>
  <c r="R977" i="5"/>
  <c r="Q978" i="5"/>
  <c r="R978" i="5"/>
  <c r="Q979" i="5"/>
  <c r="R979" i="5"/>
  <c r="Q980" i="5"/>
  <c r="R980" i="5"/>
  <c r="Q981" i="5"/>
  <c r="R981" i="5"/>
  <c r="Q982" i="5"/>
  <c r="R982" i="5"/>
  <c r="Q983" i="5"/>
  <c r="R983" i="5"/>
  <c r="Q984" i="5"/>
  <c r="R984" i="5"/>
  <c r="Q985" i="5"/>
  <c r="R985" i="5"/>
  <c r="Q986" i="5"/>
  <c r="R986" i="5"/>
  <c r="Q987" i="5"/>
  <c r="R987" i="5"/>
  <c r="Q988" i="5"/>
  <c r="R988" i="5"/>
  <c r="Q989" i="5"/>
  <c r="R989" i="5"/>
  <c r="Q990" i="5"/>
  <c r="R990" i="5"/>
  <c r="Q991" i="5"/>
  <c r="R991" i="5"/>
  <c r="Q992" i="5"/>
  <c r="R992" i="5"/>
  <c r="Q993" i="5"/>
  <c r="R993" i="5"/>
  <c r="Q994" i="5"/>
  <c r="R994" i="5"/>
  <c r="Q995" i="5"/>
  <c r="R995" i="5"/>
  <c r="Q996" i="5"/>
  <c r="R996" i="5"/>
  <c r="Q997" i="5"/>
  <c r="R997" i="5"/>
  <c r="Q998" i="5"/>
  <c r="R998" i="5"/>
  <c r="Q999" i="5"/>
  <c r="R999" i="5"/>
  <c r="Q1000" i="5"/>
  <c r="R1000" i="5"/>
  <c r="Q1001" i="5"/>
  <c r="R1001" i="5"/>
  <c r="Q1002" i="5"/>
  <c r="R1002" i="5"/>
  <c r="Q1003" i="5"/>
  <c r="R1003" i="5"/>
  <c r="Q1004" i="5"/>
  <c r="R1004" i="5"/>
  <c r="Q1005" i="5"/>
  <c r="R1005" i="5"/>
  <c r="Q1006" i="5"/>
  <c r="R1006" i="5"/>
  <c r="Q1007" i="5"/>
  <c r="R1007" i="5"/>
  <c r="Q1008" i="5"/>
  <c r="R1008" i="5"/>
  <c r="Q1009" i="5"/>
  <c r="R1009" i="5"/>
  <c r="Q1010" i="5"/>
  <c r="R1010" i="5"/>
  <c r="Q1011" i="5"/>
  <c r="R1011" i="5"/>
  <c r="Q1012" i="5"/>
  <c r="R1012" i="5"/>
  <c r="Q1013" i="5"/>
  <c r="R1013" i="5"/>
  <c r="Q1014" i="5"/>
  <c r="R1014" i="5"/>
  <c r="Q1015" i="5"/>
  <c r="R1015" i="5"/>
  <c r="Q1016" i="5"/>
  <c r="R1016" i="5"/>
  <c r="Q1017" i="5"/>
  <c r="R1017" i="5"/>
  <c r="Q1018" i="5"/>
  <c r="R1018" i="5"/>
  <c r="Q1019" i="5"/>
  <c r="R1019" i="5"/>
  <c r="Q1020" i="5"/>
  <c r="R1020" i="5"/>
  <c r="Q1021" i="5"/>
  <c r="R1021" i="5"/>
  <c r="Q1022" i="5"/>
  <c r="R1022" i="5"/>
  <c r="Q1023" i="5"/>
  <c r="R1023" i="5"/>
  <c r="Q1024" i="5"/>
  <c r="R1024" i="5"/>
  <c r="Q1025" i="5"/>
  <c r="R1025" i="5"/>
  <c r="Q1026" i="5"/>
  <c r="R1026" i="5"/>
  <c r="Q1027" i="5"/>
  <c r="R1027" i="5"/>
  <c r="Q1028" i="5"/>
  <c r="R1028" i="5"/>
  <c r="Q1029" i="5"/>
  <c r="R1029" i="5"/>
  <c r="Q1030" i="5"/>
  <c r="R1030" i="5"/>
  <c r="Q1031" i="5"/>
  <c r="R1031" i="5"/>
  <c r="Q1032" i="5"/>
  <c r="R1032" i="5"/>
  <c r="Q1033" i="5"/>
  <c r="R1033" i="5"/>
  <c r="Q1034" i="5"/>
  <c r="R1034" i="5"/>
  <c r="Q1035" i="5"/>
  <c r="R1035" i="5"/>
  <c r="Q1036" i="5"/>
  <c r="R1036" i="5"/>
  <c r="Q1037" i="5"/>
  <c r="R1037" i="5"/>
  <c r="Q1038" i="5"/>
  <c r="R1038" i="5"/>
  <c r="Q1039" i="5"/>
  <c r="R1039" i="5"/>
  <c r="Q1040" i="5"/>
  <c r="R1040" i="5"/>
  <c r="Q1041" i="5"/>
  <c r="R1041" i="5"/>
  <c r="Q1042" i="5"/>
  <c r="R1042" i="5"/>
  <c r="Q1043" i="5"/>
  <c r="R1043" i="5"/>
  <c r="Q1044" i="5"/>
  <c r="R1044" i="5"/>
  <c r="Q1045" i="5"/>
  <c r="R1045" i="5"/>
  <c r="R3" i="5"/>
  <c r="Q3" i="5"/>
  <c r="AC14" i="4" l="1"/>
  <c r="V14" i="4"/>
  <c r="U4" i="4"/>
  <c r="U8" i="4"/>
  <c r="U10" i="4"/>
  <c r="U13" i="4"/>
  <c r="U18" i="4"/>
  <c r="U19" i="4"/>
  <c r="U20" i="4"/>
  <c r="U25" i="4"/>
  <c r="U26" i="4"/>
  <c r="U27" i="4"/>
  <c r="U49" i="4"/>
  <c r="U50" i="4"/>
  <c r="U60" i="4"/>
  <c r="U61" i="4"/>
  <c r="U63" i="4"/>
  <c r="U64" i="4"/>
  <c r="U65" i="4"/>
  <c r="U68" i="4"/>
  <c r="U69" i="4"/>
  <c r="U72" i="4"/>
  <c r="U73" i="4"/>
  <c r="U75" i="4"/>
  <c r="U77" i="4"/>
  <c r="U86" i="4"/>
  <c r="U87" i="4"/>
  <c r="U89" i="4"/>
  <c r="U90" i="4"/>
  <c r="U91" i="4"/>
  <c r="U94" i="4"/>
  <c r="U95" i="4"/>
  <c r="U96" i="4"/>
  <c r="U3" i="4"/>
  <c r="AC97" i="4"/>
  <c r="AC96" i="4"/>
  <c r="AC95" i="4"/>
  <c r="AC94" i="4"/>
  <c r="V97" i="4"/>
  <c r="V96" i="4"/>
  <c r="V95" i="4"/>
  <c r="V94" i="4"/>
  <c r="H96" i="4"/>
  <c r="H95" i="4"/>
  <c r="H94" i="4"/>
  <c r="AC93" i="4"/>
  <c r="AC92" i="4"/>
  <c r="AC91" i="4"/>
  <c r="AC90" i="4"/>
  <c r="AC89" i="4"/>
  <c r="V93" i="4"/>
  <c r="V92" i="4"/>
  <c r="V91" i="4"/>
  <c r="V90" i="4"/>
  <c r="V89" i="4"/>
  <c r="H91" i="4"/>
  <c r="H90" i="4"/>
  <c r="H89" i="4"/>
  <c r="AC88" i="4"/>
  <c r="AC87" i="4"/>
  <c r="AC86" i="4"/>
  <c r="V88" i="4"/>
  <c r="V87" i="4"/>
  <c r="V86" i="4"/>
  <c r="H87" i="4"/>
  <c r="H86" i="4"/>
  <c r="AC78" i="4"/>
  <c r="AC77" i="4"/>
  <c r="AC76" i="4"/>
  <c r="AC75" i="4"/>
  <c r="V78" i="4"/>
  <c r="V77" i="4"/>
  <c r="V76" i="4"/>
  <c r="V75" i="4"/>
  <c r="H77" i="4"/>
  <c r="H76" i="4"/>
  <c r="H75" i="4"/>
  <c r="AC74" i="4"/>
  <c r="AC73" i="4"/>
  <c r="AC72" i="4"/>
  <c r="V74" i="4"/>
  <c r="V73" i="4"/>
  <c r="V72" i="4"/>
  <c r="H73" i="4"/>
  <c r="H72" i="4"/>
  <c r="AC70" i="4"/>
  <c r="AC69" i="4"/>
  <c r="AC68" i="4"/>
  <c r="AC71" i="4"/>
  <c r="V71" i="4"/>
  <c r="V70" i="4"/>
  <c r="V69" i="4"/>
  <c r="V68" i="4"/>
  <c r="H70" i="4"/>
  <c r="H69" i="4"/>
  <c r="H68" i="4"/>
  <c r="AC67" i="4"/>
  <c r="AC66" i="4"/>
  <c r="AC65" i="4"/>
  <c r="AC64" i="4"/>
  <c r="AC63" i="4"/>
  <c r="V63" i="4"/>
  <c r="V64" i="4"/>
  <c r="V65" i="4"/>
  <c r="V66" i="4"/>
  <c r="V67" i="4"/>
  <c r="H65" i="4"/>
  <c r="H64" i="4"/>
  <c r="H63" i="4"/>
  <c r="AC62" i="4"/>
  <c r="AC61" i="4"/>
  <c r="AC60" i="4"/>
  <c r="V62" i="4"/>
  <c r="V61" i="4"/>
  <c r="V60" i="4"/>
  <c r="H61" i="4"/>
  <c r="H60" i="4"/>
  <c r="AC51" i="4"/>
  <c r="AC50" i="4"/>
  <c r="AC49" i="4"/>
  <c r="V50" i="4"/>
  <c r="V51" i="4"/>
  <c r="V49" i="4"/>
  <c r="H50" i="4"/>
  <c r="H49" i="4"/>
  <c r="AC28" i="4"/>
  <c r="AC25" i="4"/>
  <c r="AC27" i="4"/>
  <c r="AC26" i="4"/>
  <c r="V28" i="4"/>
  <c r="V27" i="4"/>
  <c r="V26" i="4"/>
  <c r="H27" i="4"/>
  <c r="H26" i="4"/>
  <c r="AC21" i="4"/>
  <c r="AC20" i="4"/>
  <c r="AC19" i="4"/>
  <c r="AC18" i="4"/>
  <c r="V19" i="4"/>
  <c r="V20" i="4"/>
  <c r="V21" i="4"/>
  <c r="V18" i="4"/>
  <c r="H20" i="4"/>
  <c r="H19" i="4"/>
  <c r="H18" i="4"/>
  <c r="AC13" i="4"/>
  <c r="AC12" i="4"/>
  <c r="AC11" i="4"/>
  <c r="AC10" i="4"/>
  <c r="V13" i="4"/>
  <c r="V12" i="4"/>
  <c r="V11" i="4"/>
  <c r="V10" i="4"/>
  <c r="H14" i="4"/>
  <c r="H13" i="4"/>
  <c r="H10" i="4"/>
  <c r="V25" i="4"/>
  <c r="H25" i="4"/>
  <c r="V9" i="4"/>
  <c r="V8" i="4"/>
  <c r="V7" i="4"/>
  <c r="V6" i="4"/>
  <c r="V5" i="4"/>
  <c r="V4" i="4"/>
  <c r="V3" i="4"/>
  <c r="H9" i="4"/>
  <c r="H8" i="4"/>
  <c r="H6" i="4"/>
  <c r="H4" i="4"/>
  <c r="H3" i="4"/>
  <c r="AC8" i="4"/>
  <c r="AC7" i="4"/>
  <c r="AC4" i="4"/>
  <c r="AC5" i="4"/>
  <c r="AC3" i="4"/>
  <c r="C22" i="1"/>
  <c r="B22" i="1"/>
  <c r="C10" i="1"/>
  <c r="B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tc={B89555AD-1064-4CC1-BE3A-91BD94A3B959}</author>
  </authors>
  <commentList>
    <comment ref="H22" authorId="0" shapeId="0" xr:uid="{B89555AD-1064-4CC1-BE3A-91BD94A3B959}">
      <text>
        <t>[Threaded comment]
Your version of Excel allows you to read this threaded comment; however, any edits to it will get removed if the file is opened in a newer version of Excel. Learn more: https://go.microsoft.com/fwlink/?linkid=870924
Comment:
    Ethnic Values for Pre Redelineation for Lanang was recomputed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tc={04C88AD8-1DE8-4E5A-BB57-61ECF9CCC6E6}</author>
    <author>tc={CDACABD8-AC52-463A-9DDA-4DF4EABAF178}</author>
    <author>tc={1D624EB4-B94F-4975-B90B-13EB958647EA}</author>
    <author>tc={03134231-8D04-4536-864D-07BA72FC3D31}</author>
    <author>tc={B402480B-379B-4CEB-9F90-191DCA0D1D9B}</author>
  </authors>
  <commentList>
    <comment ref="G65" authorId="0" shapeId="0" xr:uid="{04C88AD8-1DE8-4E5A-BB57-61ECF9CCC6E6}">
      <text>
        <t>[Threaded comment]
Your version of Excel allows you to read this threaded comment; however, any edits to it will get removed if the file is opened in a newer version of Excel. Learn more: https://go.microsoft.com/fwlink/?linkid=870924
Comment:
    Postal Vote caused GPS - SUPP to win/ Undi Pos menyebabkan GPS - SUPP untuk menang</t>
      </text>
    </comment>
    <comment ref="G84" authorId="1" shapeId="0" xr:uid="{CDACABD8-AC52-463A-9DDA-4DF4EABAF178}">
      <text>
        <t>[Threaded comment]
Your version of Excel allows you to read this threaded comment; however, any edits to it will get removed if the file is opened in a newer version of Excel. Learn more: https://go.microsoft.com/fwlink/?linkid=870924
Comment:
    Postal Vote caused GPS-SUPP to win/ Undi Pos menyebabkan GPS - SUPP untuk menang</t>
      </text>
    </comment>
    <comment ref="T94" authorId="2" shapeId="0" xr:uid="{1D624EB4-B94F-4975-B90B-13EB958647EA}">
      <text>
        <t xml:space="preserve">[Threaded comment]
Your version of Excel allows you to read this threaded comment; however, any edits to it will get removed if the file is opened in a newer version of Excel. Learn more: https://go.microsoft.com/fwlink/?linkid=870924
Comment:
    Couldn’t project the estimated the vote distribution/ Tidak boleh mendapat anggaran agihan undi </t>
      </text>
    </comment>
    <comment ref="U94" authorId="3" shapeId="0" xr:uid="{03134231-8D04-4536-864D-07BA72FC3D31}">
      <text>
        <t>[Threaded comment]
Your version of Excel allows you to read this threaded comment; however, any edits to it will get removed if the file is opened in a newer version of Excel. Learn more: https://go.microsoft.com/fwlink/?linkid=870924
Comment:
    Contradictory values from the proposal document/ Pencanggahan maklumat daripada laporan cadangan</t>
      </text>
    </comment>
    <comment ref="U98" authorId="4" shapeId="0" xr:uid="{B402480B-379B-4CEB-9F90-191DCA0D1D9B}">
      <text>
        <t>[Threaded comment]
Your version of Excel allows you to read this threaded comment; however, any edits to it will get removed if the file is opened in a newer version of Excel. Learn more: https://go.microsoft.com/fwlink/?linkid=870924
Comment:
    Contradictory values from the proposal document/ Pencanggahan maklumat daripada laporan cadangan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tc={359C8CB3-BE0F-4538-82DB-F0077332A9D8}</author>
  </authors>
  <commentList>
    <comment ref="M31" authorId="0" shapeId="0" xr:uid="{359C8CB3-BE0F-4538-82DB-F0077332A9D8}">
      <text>
        <t>[Threaded comment]
Your version of Excel allows you to read this threaded comment; however, any edits to it will get removed if the file is opened in a newer version of Excel. Learn more: https://go.microsoft.com/fwlink/?linkid=870924
Comment:
    Difficult to quantify the changes due to Polling District (DM) Airport splitting to Lambir and Miri/ Kesukaran untuk menilai perubahan atas sebab Daerah Mengundi (DM) Airport telah dipecahkan antara Lambir dan miri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11DC30-E348-4252-AB7A-1E3C8DCCB1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A8167DC-351E-440B-B2C4-EB0C44ECBB69}" name="WorksheetConnection_IMPACT ON DUN OUTCOME (1)!$A$1:$AB$1120" type="102" refreshedVersion="8" minRefreshableVersion="5">
    <extLst>
      <ext xmlns:x15="http://schemas.microsoft.com/office/spreadsheetml/2010/11/main" uri="{DE250136-89BD-433C-8126-D09CA5730AF9}">
        <x15:connection id="Range 1" autoDelete="1">
          <x15:rangePr sourceName="_xlcn.WorksheetConnection_IMPACTONDUNOUTCOME1A1AB11201"/>
        </x15:connection>
      </ext>
    </extLst>
  </connection>
</connections>
</file>

<file path=xl/sharedStrings.xml><?xml version="1.0" encoding="utf-8"?>
<sst xmlns="http://schemas.openxmlformats.org/spreadsheetml/2006/main" count="16113" uniqueCount="2502">
  <si>
    <t>IBAN</t>
  </si>
  <si>
    <t>CHINESE</t>
  </si>
  <si>
    <t>BIDAYUH</t>
  </si>
  <si>
    <t>ORANG ULU</t>
  </si>
  <si>
    <t>18 - 20</t>
  </si>
  <si>
    <t>21 - 29</t>
  </si>
  <si>
    <t>30 - 39</t>
  </si>
  <si>
    <t>40 - 49</t>
  </si>
  <si>
    <t>50 - 59</t>
  </si>
  <si>
    <t>60 - 69</t>
  </si>
  <si>
    <t>70 - 79</t>
  </si>
  <si>
    <t>80 - 89</t>
  </si>
  <si>
    <t>P.195 BANDAR KUCHING</t>
  </si>
  <si>
    <t>P.197 KOTA SAMARAHAN</t>
  </si>
  <si>
    <t>P.200 BATANG SADONG</t>
  </si>
  <si>
    <t>P.205 SARATOK</t>
  </si>
  <si>
    <t>P.209 JULAU</t>
  </si>
  <si>
    <t>P.210 KANOWIT</t>
  </si>
  <si>
    <t>P.221 LIMBANG</t>
  </si>
  <si>
    <t>P.222 LAWAS</t>
  </si>
  <si>
    <t>P.199 SERIAN</t>
  </si>
  <si>
    <t>P.201 BATANG LUPAR</t>
  </si>
  <si>
    <t>P.202 SRI AMAN</t>
  </si>
  <si>
    <t>P.203 LUBOK ANTU</t>
  </si>
  <si>
    <t>P.204 BETONG</t>
  </si>
  <si>
    <t>P.207 IGAN</t>
  </si>
  <si>
    <t>P.208 SARIKEI</t>
  </si>
  <si>
    <t>P.216 HULU RAJANG</t>
  </si>
  <si>
    <t>P.217 BINTULU</t>
  </si>
  <si>
    <t>P.192 MAS GADING</t>
  </si>
  <si>
    <t>P.193 SANTUBONG</t>
  </si>
  <si>
    <t>P.194 PETRA JAYA</t>
  </si>
  <si>
    <t>P.196 STAMPIN</t>
  </si>
  <si>
    <t>P.198 PUNCAK BORNEO</t>
  </si>
  <si>
    <t>P.206 TANJONG MANIS</t>
  </si>
  <si>
    <t>P.211 LANANG</t>
  </si>
  <si>
    <t>P.212 SIBU</t>
  </si>
  <si>
    <t>P.213 MUKAH</t>
  </si>
  <si>
    <t>P.214 SELANGAU</t>
  </si>
  <si>
    <t>P.215 KAPIT</t>
  </si>
  <si>
    <t>P.218 SIBUTI</t>
  </si>
  <si>
    <t>P.219 MIRI</t>
  </si>
  <si>
    <t>P.220 BARAM</t>
  </si>
  <si>
    <t>P.198 PUNCAK BORNEO (NOT MENTIONED IN THE PROPOSAL DOCUMENT)</t>
  </si>
  <si>
    <t>JAGOI</t>
  </si>
  <si>
    <t>SEJINJANG</t>
  </si>
  <si>
    <t>SERAPI</t>
  </si>
  <si>
    <t>SEMARAK</t>
  </si>
  <si>
    <t>SELEDAH</t>
  </si>
  <si>
    <t>SUNGAI SERIN</t>
  </si>
  <si>
    <t>SUSUR JAMBU</t>
  </si>
  <si>
    <t>TANAHMAS</t>
  </si>
  <si>
    <t>SUNGAI MERAH</t>
  </si>
  <si>
    <t>BUKIT KEMUYANG</t>
  </si>
  <si>
    <t>OYA</t>
  </si>
  <si>
    <t>BUKIT ARIP</t>
  </si>
  <si>
    <t>MELEKUN</t>
  </si>
  <si>
    <t>TUKAU</t>
  </si>
  <si>
    <t>PERMAISURI</t>
  </si>
  <si>
    <t>TUDAN</t>
  </si>
  <si>
    <t>USUN APAU</t>
  </si>
  <si>
    <t>OPAR</t>
  </si>
  <si>
    <t>SERAYAN</t>
  </si>
  <si>
    <t>TASIK BIRU</t>
  </si>
  <si>
    <t>SINGAI</t>
  </si>
  <si>
    <t>TARAT</t>
  </si>
  <si>
    <t>BUNG SADUNG</t>
  </si>
  <si>
    <t>SEMOP</t>
  </si>
  <si>
    <t>MUARA LASSA</t>
  </si>
  <si>
    <t>JEMORENG</t>
  </si>
  <si>
    <t>MATU</t>
  </si>
  <si>
    <t>BAWANG ASSAN</t>
  </si>
  <si>
    <t>RASSAU</t>
  </si>
  <si>
    <t>LAMBIR</t>
  </si>
  <si>
    <t>PANTAI TUSAN</t>
  </si>
  <si>
    <t>JEPAK</t>
  </si>
  <si>
    <t>JEPAK JAYA</t>
  </si>
  <si>
    <t>SENADIN</t>
  </si>
  <si>
    <t>RIAM</t>
  </si>
  <si>
    <t>BA'KELALAN</t>
  </si>
  <si>
    <t>GUNONG MURUD</t>
  </si>
  <si>
    <t>P.192_N.01</t>
  </si>
  <si>
    <t>SARAWAK</t>
  </si>
  <si>
    <t>P.192</t>
  </si>
  <si>
    <t>MAS GADING</t>
  </si>
  <si>
    <t>N.01</t>
  </si>
  <si>
    <t>P.192_N.02</t>
  </si>
  <si>
    <t>N.02</t>
  </si>
  <si>
    <t>P.193_N.03</t>
  </si>
  <si>
    <t>P.193</t>
  </si>
  <si>
    <t>SANTUBONG</t>
  </si>
  <si>
    <t>N.03</t>
  </si>
  <si>
    <t>TANJONG DATU</t>
  </si>
  <si>
    <t>P.193_N.04</t>
  </si>
  <si>
    <t>N.04</t>
  </si>
  <si>
    <t>PANTAI DAMAI</t>
  </si>
  <si>
    <t>P.193_N.05</t>
  </si>
  <si>
    <t>N.05</t>
  </si>
  <si>
    <t>DEMAK LAUT</t>
  </si>
  <si>
    <t>P.194_N.06</t>
  </si>
  <si>
    <t>P.194</t>
  </si>
  <si>
    <t>PETRA JAYA</t>
  </si>
  <si>
    <t>N.06</t>
  </si>
  <si>
    <t>TUPONG</t>
  </si>
  <si>
    <t>P.194_N.07</t>
  </si>
  <si>
    <t>N.07</t>
  </si>
  <si>
    <t>SAMARIANG</t>
  </si>
  <si>
    <t>P.194_N.08</t>
  </si>
  <si>
    <t>N.08</t>
  </si>
  <si>
    <t>SATOK</t>
  </si>
  <si>
    <t>P.195_N.09</t>
  </si>
  <si>
    <t>P.195</t>
  </si>
  <si>
    <t>BANDAR KUCHING</t>
  </si>
  <si>
    <t>N.09</t>
  </si>
  <si>
    <t>PADUNGAN</t>
  </si>
  <si>
    <t>P.195_N.10</t>
  </si>
  <si>
    <t>N.10</t>
  </si>
  <si>
    <t>PENDING</t>
  </si>
  <si>
    <t>P.195_N.11</t>
  </si>
  <si>
    <t>N.11</t>
  </si>
  <si>
    <t>BATU LINTANG</t>
  </si>
  <si>
    <t>P.196_N.12</t>
  </si>
  <si>
    <t>P.196</t>
  </si>
  <si>
    <t>STAMPIN</t>
  </si>
  <si>
    <t>N.12</t>
  </si>
  <si>
    <t>KOTA SENTOSA</t>
  </si>
  <si>
    <t>P.196_N.13</t>
  </si>
  <si>
    <t>N.13</t>
  </si>
  <si>
    <t>BATU KITANG</t>
  </si>
  <si>
    <t>P.196_N.14</t>
  </si>
  <si>
    <t>N.14</t>
  </si>
  <si>
    <t>BATU KAWAH</t>
  </si>
  <si>
    <t>P.197_N.15</t>
  </si>
  <si>
    <t>P.197</t>
  </si>
  <si>
    <t>KOTA SAMARAHAN</t>
  </si>
  <si>
    <t>N.15</t>
  </si>
  <si>
    <t>ASAJAYA</t>
  </si>
  <si>
    <t>P.197_N.16</t>
  </si>
  <si>
    <t>N.16</t>
  </si>
  <si>
    <t>MUARA TUANG</t>
  </si>
  <si>
    <t>P.197_N.17</t>
  </si>
  <si>
    <t>N.17</t>
  </si>
  <si>
    <t>STAKAN</t>
  </si>
  <si>
    <t>P.198_N.18</t>
  </si>
  <si>
    <t>P.198</t>
  </si>
  <si>
    <t>PUNCAK BORNEO</t>
  </si>
  <si>
    <t>N.18</t>
  </si>
  <si>
    <t>SEREMBU</t>
  </si>
  <si>
    <t>P.198_N.19</t>
  </si>
  <si>
    <t>N.19</t>
  </si>
  <si>
    <t>MAMBONG</t>
  </si>
  <si>
    <t>P.198_N.20</t>
  </si>
  <si>
    <t>N.20</t>
  </si>
  <si>
    <t>P.199_N.21</t>
  </si>
  <si>
    <t>P.199</t>
  </si>
  <si>
    <t>SERIAN</t>
  </si>
  <si>
    <t>N.21</t>
  </si>
  <si>
    <t>TEBEDU</t>
  </si>
  <si>
    <t>P.199_N.22</t>
  </si>
  <si>
    <t>N.22</t>
  </si>
  <si>
    <t>KEDUP</t>
  </si>
  <si>
    <t>P.199_N.23</t>
  </si>
  <si>
    <t>N.23</t>
  </si>
  <si>
    <t>BUKIT SEMUJA</t>
  </si>
  <si>
    <t>P.200_N.24</t>
  </si>
  <si>
    <t>P.200</t>
  </si>
  <si>
    <t>BATANG SADONG</t>
  </si>
  <si>
    <t>N.24</t>
  </si>
  <si>
    <t>SADONG JAYA</t>
  </si>
  <si>
    <t>P.200_N.25</t>
  </si>
  <si>
    <t>N.25</t>
  </si>
  <si>
    <t>SIMUNJAN</t>
  </si>
  <si>
    <t>P.200_N.26</t>
  </si>
  <si>
    <t>N.26</t>
  </si>
  <si>
    <t>GEDONG</t>
  </si>
  <si>
    <t>P.201_N.27</t>
  </si>
  <si>
    <t>P.201</t>
  </si>
  <si>
    <t>BATANG LUPAR</t>
  </si>
  <si>
    <t>N.27</t>
  </si>
  <si>
    <t>SEBUYAU</t>
  </si>
  <si>
    <t>P.201_N.28</t>
  </si>
  <si>
    <t>N.28</t>
  </si>
  <si>
    <t>LINGGA</t>
  </si>
  <si>
    <t>P.201_N.29</t>
  </si>
  <si>
    <t>N.29</t>
  </si>
  <si>
    <t>BETING MARO</t>
  </si>
  <si>
    <t>P.202_N.30</t>
  </si>
  <si>
    <t>P.202</t>
  </si>
  <si>
    <t>SRI AMAN</t>
  </si>
  <si>
    <t>N.30</t>
  </si>
  <si>
    <t>BALAI RINGIN</t>
  </si>
  <si>
    <t>P.202_N.31</t>
  </si>
  <si>
    <t>N.31</t>
  </si>
  <si>
    <t>BUKIT BEGUNAN</t>
  </si>
  <si>
    <t>P.202_N.32</t>
  </si>
  <si>
    <t>N.32</t>
  </si>
  <si>
    <t>SIMANGGANG</t>
  </si>
  <si>
    <t>P.203_N.33</t>
  </si>
  <si>
    <t>P.203</t>
  </si>
  <si>
    <t>LUBOK ANTU</t>
  </si>
  <si>
    <t>N.33</t>
  </si>
  <si>
    <t>ENGKILILI</t>
  </si>
  <si>
    <t>P.203_N.34</t>
  </si>
  <si>
    <t>N.34</t>
  </si>
  <si>
    <t>BATANG AI</t>
  </si>
  <si>
    <t>P.204_N.35</t>
  </si>
  <si>
    <t>P.204</t>
  </si>
  <si>
    <t>BETONG</t>
  </si>
  <si>
    <t>N.35</t>
  </si>
  <si>
    <t>SARIBAS</t>
  </si>
  <si>
    <t>P.204_N.36</t>
  </si>
  <si>
    <t>N.36</t>
  </si>
  <si>
    <t>LAYAR</t>
  </si>
  <si>
    <t>P.204_N.37</t>
  </si>
  <si>
    <t>N.37</t>
  </si>
  <si>
    <t>BUKIT SABAN</t>
  </si>
  <si>
    <t>P.205_N.38</t>
  </si>
  <si>
    <t>P.205</t>
  </si>
  <si>
    <t>SARATOK</t>
  </si>
  <si>
    <t>N.38</t>
  </si>
  <si>
    <t>KALAKA</t>
  </si>
  <si>
    <t>P.205_N.39</t>
  </si>
  <si>
    <t>N.39</t>
  </si>
  <si>
    <t>KRIAN</t>
  </si>
  <si>
    <t>P.205_N.40</t>
  </si>
  <si>
    <t>N.40</t>
  </si>
  <si>
    <t>KABONG</t>
  </si>
  <si>
    <t>P.206_N.41</t>
  </si>
  <si>
    <t>P.206</t>
  </si>
  <si>
    <t>TANJONG MANIS</t>
  </si>
  <si>
    <t>N.41</t>
  </si>
  <si>
    <t>KUALA RAJANG</t>
  </si>
  <si>
    <t>P.206_N.42</t>
  </si>
  <si>
    <t>N.42</t>
  </si>
  <si>
    <t>P.207_N.43</t>
  </si>
  <si>
    <t>P.207</t>
  </si>
  <si>
    <t>IGAN</t>
  </si>
  <si>
    <t>N.43</t>
  </si>
  <si>
    <t>DARO</t>
  </si>
  <si>
    <t>P.207_N.44</t>
  </si>
  <si>
    <t>N.44</t>
  </si>
  <si>
    <t>P.208_N.45</t>
  </si>
  <si>
    <t>P.208</t>
  </si>
  <si>
    <t>SARIKEI</t>
  </si>
  <si>
    <t>N.45</t>
  </si>
  <si>
    <t>REPOK</t>
  </si>
  <si>
    <t>P.208_N.46</t>
  </si>
  <si>
    <t>N.46</t>
  </si>
  <si>
    <t>MERADONG</t>
  </si>
  <si>
    <t>P.209_N.47</t>
  </si>
  <si>
    <t>P.209</t>
  </si>
  <si>
    <t>JULAU</t>
  </si>
  <si>
    <t>N.47</t>
  </si>
  <si>
    <t>PAKAN</t>
  </si>
  <si>
    <t>P.209_N.48</t>
  </si>
  <si>
    <t>N.48</t>
  </si>
  <si>
    <t>MELUAN</t>
  </si>
  <si>
    <t>P.210_N.49</t>
  </si>
  <si>
    <t>P.210</t>
  </si>
  <si>
    <t>KANOWIT</t>
  </si>
  <si>
    <t>N.49</t>
  </si>
  <si>
    <t>NGEMAH</t>
  </si>
  <si>
    <t>P.210_N.50</t>
  </si>
  <si>
    <t>N.50</t>
  </si>
  <si>
    <t>MACHAN</t>
  </si>
  <si>
    <t>P.211_N.51</t>
  </si>
  <si>
    <t>P.211</t>
  </si>
  <si>
    <t>LANANG</t>
  </si>
  <si>
    <t>N.51</t>
  </si>
  <si>
    <t>BUKIT ASSEK</t>
  </si>
  <si>
    <t>P.211_N.52</t>
  </si>
  <si>
    <t>N.52</t>
  </si>
  <si>
    <t>DUDONG</t>
  </si>
  <si>
    <t>P.212_N.53</t>
  </si>
  <si>
    <t>P.212</t>
  </si>
  <si>
    <t>SIBU</t>
  </si>
  <si>
    <t>N.53</t>
  </si>
  <si>
    <t>P.212_N.54</t>
  </si>
  <si>
    <t>N.54</t>
  </si>
  <si>
    <t>PELAWAN</t>
  </si>
  <si>
    <t>P.212_N.55</t>
  </si>
  <si>
    <t>N.55</t>
  </si>
  <si>
    <t>NANGKA</t>
  </si>
  <si>
    <t>P.213_N.56</t>
  </si>
  <si>
    <t>P.213</t>
  </si>
  <si>
    <t>MUKAH</t>
  </si>
  <si>
    <t>N.56</t>
  </si>
  <si>
    <t>DALAT</t>
  </si>
  <si>
    <t>P.213_N.57</t>
  </si>
  <si>
    <t>N.57</t>
  </si>
  <si>
    <t>TELLIAN</t>
  </si>
  <si>
    <t>P.213_N.58</t>
  </si>
  <si>
    <t>N.58</t>
  </si>
  <si>
    <t>BALINGIAN</t>
  </si>
  <si>
    <t>P.214_N.59</t>
  </si>
  <si>
    <t>P.214</t>
  </si>
  <si>
    <t>SELANGAU</t>
  </si>
  <si>
    <t>N.59</t>
  </si>
  <si>
    <t>TAMIN</t>
  </si>
  <si>
    <t>P.214_N.60</t>
  </si>
  <si>
    <t>N.60</t>
  </si>
  <si>
    <t>KAKUS</t>
  </si>
  <si>
    <t>P.215_N.61</t>
  </si>
  <si>
    <t>P.215</t>
  </si>
  <si>
    <t>KAPIT</t>
  </si>
  <si>
    <t>N.61</t>
  </si>
  <si>
    <t>PELAGUS</t>
  </si>
  <si>
    <t>P.215_N.62</t>
  </si>
  <si>
    <t>N.62</t>
  </si>
  <si>
    <t>KATIBAS</t>
  </si>
  <si>
    <t>P.215_N.63</t>
  </si>
  <si>
    <t>N.63</t>
  </si>
  <si>
    <t>BUKIT GORAM</t>
  </si>
  <si>
    <t>P.216_N.64</t>
  </si>
  <si>
    <t>P.216</t>
  </si>
  <si>
    <t>HULU RAJANG</t>
  </si>
  <si>
    <t>N.64</t>
  </si>
  <si>
    <t>BALEH</t>
  </si>
  <si>
    <t>P.216_N.65</t>
  </si>
  <si>
    <t>N.65</t>
  </si>
  <si>
    <t>BELAGA</t>
  </si>
  <si>
    <t>P.216_N.66</t>
  </si>
  <si>
    <t>N.66</t>
  </si>
  <si>
    <t>MURUM</t>
  </si>
  <si>
    <t>P.217_N.67</t>
  </si>
  <si>
    <t>P.217</t>
  </si>
  <si>
    <t>BINTULU</t>
  </si>
  <si>
    <t>N.67</t>
  </si>
  <si>
    <t>P.217_N.68</t>
  </si>
  <si>
    <t>N.68</t>
  </si>
  <si>
    <t>TANJONG BATU</t>
  </si>
  <si>
    <t>P.217_N.69</t>
  </si>
  <si>
    <t>N.69</t>
  </si>
  <si>
    <t>KEMENA</t>
  </si>
  <si>
    <t>P.217_N.70</t>
  </si>
  <si>
    <t>N.70</t>
  </si>
  <si>
    <t>SAMALAJU</t>
  </si>
  <si>
    <t>P.218_N.71</t>
  </si>
  <si>
    <t>P.218</t>
  </si>
  <si>
    <t>SIBUTI</t>
  </si>
  <si>
    <t>N.71</t>
  </si>
  <si>
    <t>BEKENU</t>
  </si>
  <si>
    <t>P.218_N.72</t>
  </si>
  <si>
    <t>N.72</t>
  </si>
  <si>
    <t>P.219_N.73</t>
  </si>
  <si>
    <t>P.219</t>
  </si>
  <si>
    <t>MIRI</t>
  </si>
  <si>
    <t>N.73</t>
  </si>
  <si>
    <t>PIASAU</t>
  </si>
  <si>
    <t>P.219_N.74</t>
  </si>
  <si>
    <t>N.74</t>
  </si>
  <si>
    <t>PUJUT</t>
  </si>
  <si>
    <t>P.219_N.75</t>
  </si>
  <si>
    <t>N.75</t>
  </si>
  <si>
    <t>P.220_N.76</t>
  </si>
  <si>
    <t>P.220</t>
  </si>
  <si>
    <t>BARAM</t>
  </si>
  <si>
    <t>N.76</t>
  </si>
  <si>
    <t>MARUDI</t>
  </si>
  <si>
    <t>P.220_N.77</t>
  </si>
  <si>
    <t>N.77</t>
  </si>
  <si>
    <t>TELANG USAN</t>
  </si>
  <si>
    <t>P.220_N.78</t>
  </si>
  <si>
    <t>N.78</t>
  </si>
  <si>
    <t>MULU</t>
  </si>
  <si>
    <t>P.221_N.79</t>
  </si>
  <si>
    <t>P.221</t>
  </si>
  <si>
    <t>LIMBANG</t>
  </si>
  <si>
    <t>N.79</t>
  </si>
  <si>
    <t>BUKIT KOTA</t>
  </si>
  <si>
    <t>P.221_N.80</t>
  </si>
  <si>
    <t>N.80</t>
  </si>
  <si>
    <t>BATU DANAU</t>
  </si>
  <si>
    <t>P.222_N.81</t>
  </si>
  <si>
    <t>P.222</t>
  </si>
  <si>
    <t>LAWAS</t>
  </si>
  <si>
    <t>N.81</t>
  </si>
  <si>
    <t>P.222_N.82</t>
  </si>
  <si>
    <t>N.82</t>
  </si>
  <si>
    <t>BUKIT SARI</t>
  </si>
  <si>
    <t>UNIQUE CODE (2022)</t>
  </si>
  <si>
    <t>STATE (2022)</t>
  </si>
  <si>
    <t>PARLIAMENTARY CONSTITUENCY NAME (2022)</t>
  </si>
  <si>
    <t>PARLIAMENTARY CONSTITUENCY CODE (2022)</t>
  </si>
  <si>
    <t>STATE CONSTITUENCY CODE (2022)</t>
  </si>
  <si>
    <t>STATE CONSTITUENCY NAME (2022)</t>
  </si>
  <si>
    <t>PROPOSED UNIQUE CODE (2025)</t>
  </si>
  <si>
    <t>NEW SEAT</t>
  </si>
  <si>
    <t>NAME CHANGE</t>
  </si>
  <si>
    <t>YES</t>
  </si>
  <si>
    <t>PROPOSED STATE CONSTITUENCY CODE (2025)</t>
  </si>
  <si>
    <t>PROPOSED STATE CONSTITUENCY NAME (2025)</t>
  </si>
  <si>
    <t>PROPOSED PARLIAMENTARY CONSTITUENCY CODE (2025)</t>
  </si>
  <si>
    <t>PROPOSED PARLIAMENTARY CONSTITUENCY NAME (2025)</t>
  </si>
  <si>
    <t>UNIQUE CODE</t>
  </si>
  <si>
    <t>STATE</t>
  </si>
  <si>
    <t>PARLIAMENTARY CODE</t>
  </si>
  <si>
    <t>PARLIAMENTARY NAME</t>
  </si>
  <si>
    <t>STATE CONSTITUENCY CODE</t>
  </si>
  <si>
    <t>STATE CONSTITUENCY NAME</t>
  </si>
  <si>
    <t>MALAY/MELANAU (%)</t>
  </si>
  <si>
    <t>CHINESE (%)</t>
  </si>
  <si>
    <t>IBAN (%)</t>
  </si>
  <si>
    <t>BIDAYUH (%)</t>
  </si>
  <si>
    <t>ORANG ULU (%)</t>
  </si>
  <si>
    <t>OTHERS (%)</t>
  </si>
  <si>
    <t>192/01/01</t>
  </si>
  <si>
    <t>SEBIRIS</t>
  </si>
  <si>
    <t>192/01/02</t>
  </si>
  <si>
    <t>JANGKAR</t>
  </si>
  <si>
    <t>192/01/03</t>
  </si>
  <si>
    <t>SEBANDI</t>
  </si>
  <si>
    <t>192/01/04</t>
  </si>
  <si>
    <t>TEMAGA</t>
  </si>
  <si>
    <t>192/01/05</t>
  </si>
  <si>
    <t>STUNGKOR</t>
  </si>
  <si>
    <t>192/01/06</t>
  </si>
  <si>
    <t>192/01/07</t>
  </si>
  <si>
    <t>192/01/08</t>
  </si>
  <si>
    <t>RUKAM</t>
  </si>
  <si>
    <t>192/01/09</t>
  </si>
  <si>
    <t>SEMBAWANG</t>
  </si>
  <si>
    <t>192/01/10</t>
  </si>
  <si>
    <t>KANDAIE</t>
  </si>
  <si>
    <t>192/01/11</t>
  </si>
  <si>
    <t>PASIR TENGAH</t>
  </si>
  <si>
    <t>192/01/12</t>
  </si>
  <si>
    <t>SEDAING</t>
  </si>
  <si>
    <t>192/01/13</t>
  </si>
  <si>
    <t>BIAWAK</t>
  </si>
  <si>
    <t>192/01/14</t>
  </si>
  <si>
    <t>SENIBONG</t>
  </si>
  <si>
    <t>192/01/15</t>
  </si>
  <si>
    <t>SEBAKO</t>
  </si>
  <si>
    <t>192/01/16</t>
  </si>
  <si>
    <t>RASO</t>
  </si>
  <si>
    <t>192/01/17</t>
  </si>
  <si>
    <t>RASO II</t>
  </si>
  <si>
    <t>192/01/18</t>
  </si>
  <si>
    <t>BOKAH</t>
  </si>
  <si>
    <t>192/01/19</t>
  </si>
  <si>
    <t>STOM MUDA</t>
  </si>
  <si>
    <t>192/01/20</t>
  </si>
  <si>
    <t>SELAMPIT</t>
  </si>
  <si>
    <t>192/01/21</t>
  </si>
  <si>
    <t>JUGAN</t>
  </si>
  <si>
    <t>192/01/22</t>
  </si>
  <si>
    <t>STENGGANG</t>
  </si>
  <si>
    <t>192/02/01</t>
  </si>
  <si>
    <t>SAJONG</t>
  </si>
  <si>
    <t>192/02/02</t>
  </si>
  <si>
    <t>APAR</t>
  </si>
  <si>
    <t>192/02/03</t>
  </si>
  <si>
    <t>BUSO</t>
  </si>
  <si>
    <t>192/02/04</t>
  </si>
  <si>
    <t>TONDONG</t>
  </si>
  <si>
    <t>192/02/05</t>
  </si>
  <si>
    <t>GROGO</t>
  </si>
  <si>
    <t>192/02/06</t>
  </si>
  <si>
    <t>BAU</t>
  </si>
  <si>
    <t>192/02/07</t>
  </si>
  <si>
    <t>SKIAT</t>
  </si>
  <si>
    <t>192/02/08</t>
  </si>
  <si>
    <t>192/02/09</t>
  </si>
  <si>
    <t>DAUN</t>
  </si>
  <si>
    <t>192/02/10</t>
  </si>
  <si>
    <t>TANJONG POTING</t>
  </si>
  <si>
    <t>192/02/11</t>
  </si>
  <si>
    <t>ATAS</t>
  </si>
  <si>
    <t>192/02/12</t>
  </si>
  <si>
    <t>BARIENG</t>
  </si>
  <si>
    <t>192/02/13</t>
  </si>
  <si>
    <t>SUDOH</t>
  </si>
  <si>
    <t>192/02/14</t>
  </si>
  <si>
    <t>SEGONG</t>
  </si>
  <si>
    <t>192/02/15</t>
  </si>
  <si>
    <t>MUSI</t>
  </si>
  <si>
    <t>192/02/16</t>
  </si>
  <si>
    <t>SUBA BUAN</t>
  </si>
  <si>
    <t>192/02/17</t>
  </si>
  <si>
    <t>SUBA BAU</t>
  </si>
  <si>
    <t>192/02/18</t>
  </si>
  <si>
    <t>SIBULOH</t>
  </si>
  <si>
    <t>192/02/19</t>
  </si>
  <si>
    <t>SEBUKU</t>
  </si>
  <si>
    <t>192/02/20</t>
  </si>
  <si>
    <t>TAI TON</t>
  </si>
  <si>
    <t>192/02/21</t>
  </si>
  <si>
    <t>STASS</t>
  </si>
  <si>
    <t>192/02/22</t>
  </si>
  <si>
    <t>SKIBANG</t>
  </si>
  <si>
    <t>192/02/23</t>
  </si>
  <si>
    <t>SIBOBOG</t>
  </si>
  <si>
    <t>192/02/24</t>
  </si>
  <si>
    <t>SERASOT</t>
  </si>
  <si>
    <t>192/02/25</t>
  </si>
  <si>
    <t>SERIKIN</t>
  </si>
  <si>
    <t>192/02/26</t>
  </si>
  <si>
    <t>BOGAG</t>
  </si>
  <si>
    <t>193/03/01</t>
  </si>
  <si>
    <t>TELOK MELANO</t>
  </si>
  <si>
    <t>193/03/02</t>
  </si>
  <si>
    <t>PUEH</t>
  </si>
  <si>
    <t>193/03/03</t>
  </si>
  <si>
    <t>SEBAT</t>
  </si>
  <si>
    <t>193/03/04</t>
  </si>
  <si>
    <t>SEMATAN</t>
  </si>
  <si>
    <t>193/03/05</t>
  </si>
  <si>
    <t>SELING</t>
  </si>
  <si>
    <t>193/03/06</t>
  </si>
  <si>
    <t>STUNGGANG</t>
  </si>
  <si>
    <t>193/03/07</t>
  </si>
  <si>
    <t>LUNDU</t>
  </si>
  <si>
    <t>193/03/08</t>
  </si>
  <si>
    <t>PERIGI</t>
  </si>
  <si>
    <t>193/03/09</t>
  </si>
  <si>
    <t>SEKAMBAL</t>
  </si>
  <si>
    <t>193/03/10</t>
  </si>
  <si>
    <t>BAJO</t>
  </si>
  <si>
    <t>193/03/11</t>
  </si>
  <si>
    <t>KAMPUNG SEBEMBAN</t>
  </si>
  <si>
    <t>193/03/12</t>
  </si>
  <si>
    <t>TEMELAN</t>
  </si>
  <si>
    <t>193/03/13</t>
  </si>
  <si>
    <t>SAMPADI</t>
  </si>
  <si>
    <t>193/03/14</t>
  </si>
  <si>
    <t>STOH</t>
  </si>
  <si>
    <t>193/03/15</t>
  </si>
  <si>
    <t>RAMBUNGAN</t>
  </si>
  <si>
    <t>193/04/01</t>
  </si>
  <si>
    <t>TELAGA AIR</t>
  </si>
  <si>
    <t>193/04/02</t>
  </si>
  <si>
    <t>SALAK</t>
  </si>
  <si>
    <t>193/04/03</t>
  </si>
  <si>
    <t>TEMENGGONG</t>
  </si>
  <si>
    <t>193/04/04</t>
  </si>
  <si>
    <t>JAYA BAKTI</t>
  </si>
  <si>
    <t>193/04/05</t>
  </si>
  <si>
    <t>193/04/06</t>
  </si>
  <si>
    <t>BUNTAL</t>
  </si>
  <si>
    <t>193/04/07</t>
  </si>
  <si>
    <t>RAMPANGI</t>
  </si>
  <si>
    <t>193/04/08</t>
  </si>
  <si>
    <t>193/04/09</t>
  </si>
  <si>
    <t>ASTANA</t>
  </si>
  <si>
    <t>193/04/10</t>
  </si>
  <si>
    <t>DEMAK BARU</t>
  </si>
  <si>
    <t>193/04/11</t>
  </si>
  <si>
    <t>SEMARANG</t>
  </si>
  <si>
    <t>193/04/12</t>
  </si>
  <si>
    <t>BINTAWA</t>
  </si>
  <si>
    <t>193/05/01</t>
  </si>
  <si>
    <t>TANJONG EMBANG</t>
  </si>
  <si>
    <t>193/05/02</t>
  </si>
  <si>
    <t>MUARA TEBAS</t>
  </si>
  <si>
    <t>193/05/03</t>
  </si>
  <si>
    <t>GEOBILT</t>
  </si>
  <si>
    <t>193/05/04</t>
  </si>
  <si>
    <t>BAKO</t>
  </si>
  <si>
    <t>193/05/05</t>
  </si>
  <si>
    <t>SEJINGKAT</t>
  </si>
  <si>
    <t>193/05/06</t>
  </si>
  <si>
    <t>SENARI</t>
  </si>
  <si>
    <t>193/05/07</t>
  </si>
  <si>
    <t>TANJONG BAKO</t>
  </si>
  <si>
    <t>193/05/08</t>
  </si>
  <si>
    <t>PINGGAN JAYA</t>
  </si>
  <si>
    <t>193/05/09</t>
  </si>
  <si>
    <t>TABUAN MELAYU</t>
  </si>
  <si>
    <t>193/05/10</t>
  </si>
  <si>
    <t>MUARA TABUAN</t>
  </si>
  <si>
    <t>193/05/11</t>
  </si>
  <si>
    <t>TABUAN HULU</t>
  </si>
  <si>
    <t>194/06/01</t>
  </si>
  <si>
    <t>194/06/02</t>
  </si>
  <si>
    <t>GITA</t>
  </si>
  <si>
    <t>194/06/03</t>
  </si>
  <si>
    <t>SUNGAI TENGAH</t>
  </si>
  <si>
    <t>194/06/04</t>
  </si>
  <si>
    <t>RAHMAT</t>
  </si>
  <si>
    <t>194/06/05</t>
  </si>
  <si>
    <t>SINJAN</t>
  </si>
  <si>
    <t>194/06/06</t>
  </si>
  <si>
    <t>SEJOLI</t>
  </si>
  <si>
    <t>194/06/07</t>
  </si>
  <si>
    <t>PAROH</t>
  </si>
  <si>
    <t>194/06/08</t>
  </si>
  <si>
    <t>MATANG</t>
  </si>
  <si>
    <t>194/06/09</t>
  </si>
  <si>
    <t>SRI WANGI</t>
  </si>
  <si>
    <t>194/07/01</t>
  </si>
  <si>
    <t>194/07/02</t>
  </si>
  <si>
    <t>LINTANG</t>
  </si>
  <si>
    <t>194/07/03</t>
  </si>
  <si>
    <t>KANDIS</t>
  </si>
  <si>
    <t>194/07/04</t>
  </si>
  <si>
    <t>SEMERAH PADI</t>
  </si>
  <si>
    <t>194/07/05</t>
  </si>
  <si>
    <t>SUKMA</t>
  </si>
  <si>
    <t>194/07/06</t>
  </si>
  <si>
    <t>KAMPONG TUNKU</t>
  </si>
  <si>
    <t>194/07/07</t>
  </si>
  <si>
    <t>BEDIL</t>
  </si>
  <si>
    <t>194/07/08</t>
  </si>
  <si>
    <t>ASTANA LOT</t>
  </si>
  <si>
    <t>194/08/01</t>
  </si>
  <si>
    <t>SEGEDUP</t>
  </si>
  <si>
    <t>194/08/02</t>
  </si>
  <si>
    <t>PATINGAN</t>
  </si>
  <si>
    <t>194/08/03</t>
  </si>
  <si>
    <t>194/08/04</t>
  </si>
  <si>
    <t>MASJID</t>
  </si>
  <si>
    <t>194/08/05</t>
  </si>
  <si>
    <t>MADERASAH</t>
  </si>
  <si>
    <t>194/08/06</t>
  </si>
  <si>
    <t>RESERVOIR</t>
  </si>
  <si>
    <t>194/08/07</t>
  </si>
  <si>
    <t>NANAS</t>
  </si>
  <si>
    <t>194/08/08</t>
  </si>
  <si>
    <t>PATINGGI ALI</t>
  </si>
  <si>
    <t>195/09/01</t>
  </si>
  <si>
    <t>MARKET</t>
  </si>
  <si>
    <t>195/09/02</t>
  </si>
  <si>
    <t>BAZAAR</t>
  </si>
  <si>
    <t>195/09/03</t>
  </si>
  <si>
    <t>195/09/04</t>
  </si>
  <si>
    <t>ABELL</t>
  </si>
  <si>
    <t>195/09/05</t>
  </si>
  <si>
    <t>DESHON</t>
  </si>
  <si>
    <t>195/09/06</t>
  </si>
  <si>
    <t>SEKAMA</t>
  </si>
  <si>
    <t>195/09/07</t>
  </si>
  <si>
    <t>BUKIT TUAN</t>
  </si>
  <si>
    <t>195/09/08</t>
  </si>
  <si>
    <t>KINYANG</t>
  </si>
  <si>
    <t>195/09/09</t>
  </si>
  <si>
    <t>ELLIS</t>
  </si>
  <si>
    <t>195/09/10</t>
  </si>
  <si>
    <t>BAN HOCK</t>
  </si>
  <si>
    <t>195/09/11</t>
  </si>
  <si>
    <t>LUMBA KUDA</t>
  </si>
  <si>
    <t>195/09/12</t>
  </si>
  <si>
    <t>CENTRAL</t>
  </si>
  <si>
    <t>195/09/13</t>
  </si>
  <si>
    <t>PETANAK</t>
  </si>
  <si>
    <t>195/10/01</t>
  </si>
  <si>
    <t>195/10/02</t>
  </si>
  <si>
    <t>FOOCHOW</t>
  </si>
  <si>
    <t>195/10/03</t>
  </si>
  <si>
    <t>KENYALANG</t>
  </si>
  <si>
    <t>195/10/04</t>
  </si>
  <si>
    <t>SUPREME</t>
  </si>
  <si>
    <t>195/10/05</t>
  </si>
  <si>
    <t>CHONG KIUN KONG</t>
  </si>
  <si>
    <t>195/10/06</t>
  </si>
  <si>
    <t>CHAWAN</t>
  </si>
  <si>
    <t>195/10/07</t>
  </si>
  <si>
    <t>SIMPANG TIGA</t>
  </si>
  <si>
    <t>195/11/01</t>
  </si>
  <si>
    <t>PISANG</t>
  </si>
  <si>
    <t>195/11/02</t>
  </si>
  <si>
    <t>195/11/03</t>
  </si>
  <si>
    <t>STAR GARDEN</t>
  </si>
  <si>
    <t>195/11/04</t>
  </si>
  <si>
    <t>POH KWONG PARK</t>
  </si>
  <si>
    <t>195/11/05</t>
  </si>
  <si>
    <t>SKY GARDEN</t>
  </si>
  <si>
    <t>195/11/06</t>
  </si>
  <si>
    <t>BUKIT KENNY</t>
  </si>
  <si>
    <t>195/11/07</t>
  </si>
  <si>
    <t>TABUAN DAYAK</t>
  </si>
  <si>
    <t>195/11/08</t>
  </si>
  <si>
    <t>TABUAN JAYA</t>
  </si>
  <si>
    <t>195/11/09</t>
  </si>
  <si>
    <t>TABUAN LARU</t>
  </si>
  <si>
    <t>195/11/10</t>
  </si>
  <si>
    <t>MAONG</t>
  </si>
  <si>
    <t>195/11/11</t>
  </si>
  <si>
    <t>NANAS - PISANG</t>
  </si>
  <si>
    <t>196/12/01</t>
  </si>
  <si>
    <t>196/12/02</t>
  </si>
  <si>
    <t>196/12/03</t>
  </si>
  <si>
    <t>SATRIA JAYA</t>
  </si>
  <si>
    <t>196/12/04</t>
  </si>
  <si>
    <t>BATU TUJOH</t>
  </si>
  <si>
    <t>196/12/05</t>
  </si>
  <si>
    <t>HUI SING</t>
  </si>
  <si>
    <t>196/12/06</t>
  </si>
  <si>
    <t>BATU EMPAT</t>
  </si>
  <si>
    <t>196/13/01</t>
  </si>
  <si>
    <t>ARANG</t>
  </si>
  <si>
    <t>196/13/02</t>
  </si>
  <si>
    <t>PASAR MAONG</t>
  </si>
  <si>
    <t>196/13/03</t>
  </si>
  <si>
    <t>HAJI BAKI</t>
  </si>
  <si>
    <t>196/13/04</t>
  </si>
  <si>
    <t>KITANG</t>
  </si>
  <si>
    <t>196/13/05</t>
  </si>
  <si>
    <t>LIDAH TANAH</t>
  </si>
  <si>
    <t>196/14/01</t>
  </si>
  <si>
    <t>RPR BATU KAWAH</t>
  </si>
  <si>
    <t>196/14/02</t>
  </si>
  <si>
    <t>KAWAH</t>
  </si>
  <si>
    <t>196/14/03</t>
  </si>
  <si>
    <t>STAPOK</t>
  </si>
  <si>
    <t>196/14/04</t>
  </si>
  <si>
    <t>SIN SAN TU</t>
  </si>
  <si>
    <t>196/14/05</t>
  </si>
  <si>
    <t>KIM CHU SHIN</t>
  </si>
  <si>
    <t>197/15/01</t>
  </si>
  <si>
    <t>BELIONG</t>
  </si>
  <si>
    <t>197/15/02</t>
  </si>
  <si>
    <t>TANJUNG APONG</t>
  </si>
  <si>
    <t>197/15/03</t>
  </si>
  <si>
    <t>TAMBIRAT</t>
  </si>
  <si>
    <t>197/15/04</t>
  </si>
  <si>
    <t>TAMBEY</t>
  </si>
  <si>
    <t>197/15/05</t>
  </si>
  <si>
    <t>SUI</t>
  </si>
  <si>
    <t>197/15/06</t>
  </si>
  <si>
    <t>SAMBIR</t>
  </si>
  <si>
    <t>197/15/07</t>
  </si>
  <si>
    <t>SEBANDI MATANG</t>
  </si>
  <si>
    <t>197/15/08</t>
  </si>
  <si>
    <t>SEBANDI ULU</t>
  </si>
  <si>
    <t>197/15/09</t>
  </si>
  <si>
    <t>SUBI</t>
  </si>
  <si>
    <t>197/15/10</t>
  </si>
  <si>
    <t>MOYAN</t>
  </si>
  <si>
    <t>197/15/11</t>
  </si>
  <si>
    <t>REBA</t>
  </si>
  <si>
    <t>197/15/12</t>
  </si>
  <si>
    <t>MOYAN ULU</t>
  </si>
  <si>
    <t>197/15/13</t>
  </si>
  <si>
    <t>MOYAN LEDANG</t>
  </si>
  <si>
    <t>197/15/14</t>
  </si>
  <si>
    <t>SERPAN</t>
  </si>
  <si>
    <t>197/15/15</t>
  </si>
  <si>
    <t>SERPAN ULU</t>
  </si>
  <si>
    <t>197/15/16</t>
  </si>
  <si>
    <t>197/15/17</t>
  </si>
  <si>
    <t>ASAJAYA LAUT</t>
  </si>
  <si>
    <t>197/15/18</t>
  </si>
  <si>
    <t>TEBUN</t>
  </si>
  <si>
    <t>197/15/19</t>
  </si>
  <si>
    <t>SAMPUN</t>
  </si>
  <si>
    <t>197/16/01</t>
  </si>
  <si>
    <t>EMPILA</t>
  </si>
  <si>
    <t>197/16/02</t>
  </si>
  <si>
    <t>TANJU</t>
  </si>
  <si>
    <t>197/16/03</t>
  </si>
  <si>
    <t>BATU BLAT</t>
  </si>
  <si>
    <t>197/16/04</t>
  </si>
  <si>
    <t>TUANG</t>
  </si>
  <si>
    <t>197/16/05</t>
  </si>
  <si>
    <t>SEMARAN</t>
  </si>
  <si>
    <t>197/16/06</t>
  </si>
  <si>
    <t>LADANG SAMARAHAN</t>
  </si>
  <si>
    <t>197/16/07</t>
  </si>
  <si>
    <t>MELABAN</t>
  </si>
  <si>
    <t>197/17/01</t>
  </si>
  <si>
    <t>MERDANG</t>
  </si>
  <si>
    <t>197/17/02</t>
  </si>
  <si>
    <t>QUOP</t>
  </si>
  <si>
    <t>197/17/03</t>
  </si>
  <si>
    <t>SIDANU</t>
  </si>
  <si>
    <t>197/17/04</t>
  </si>
  <si>
    <t>PENGKALAN KUAP</t>
  </si>
  <si>
    <t>197/17/05</t>
  </si>
  <si>
    <t>198/18/01</t>
  </si>
  <si>
    <t>SINIAWAN</t>
  </si>
  <si>
    <t>198/18/02</t>
  </si>
  <si>
    <t>KRANJI</t>
  </si>
  <si>
    <t>198/18/03</t>
  </si>
  <si>
    <t>KOPIT</t>
  </si>
  <si>
    <t>198/18/04</t>
  </si>
  <si>
    <t>KROKONG</t>
  </si>
  <si>
    <t>198/18/05</t>
  </si>
  <si>
    <t>PODAM</t>
  </si>
  <si>
    <t>198/18/06</t>
  </si>
  <si>
    <t>PENINJAU BARU</t>
  </si>
  <si>
    <t>198/18/07</t>
  </si>
  <si>
    <t>MEREMBEH</t>
  </si>
  <si>
    <t>198/18/08</t>
  </si>
  <si>
    <t>198/18/09</t>
  </si>
  <si>
    <t>SUNGAI PINANG</t>
  </si>
  <si>
    <t>198/18/10</t>
  </si>
  <si>
    <t>PAKU</t>
  </si>
  <si>
    <t>198/18/11</t>
  </si>
  <si>
    <t>TANJUNG DURIAN</t>
  </si>
  <si>
    <t>198/18/12</t>
  </si>
  <si>
    <t>SEROPAK</t>
  </si>
  <si>
    <t>198/18/13</t>
  </si>
  <si>
    <t>SEROMAH</t>
  </si>
  <si>
    <t>198/18/14</t>
  </si>
  <si>
    <t>SEGUBANG</t>
  </si>
  <si>
    <t>198/18/15</t>
  </si>
  <si>
    <t>SOGO</t>
  </si>
  <si>
    <t>198/18/16</t>
  </si>
  <si>
    <t>RABAK ROTAN</t>
  </si>
  <si>
    <t>198/18/17</t>
  </si>
  <si>
    <t>PANGKALAN TEBANG</t>
  </si>
  <si>
    <t>198/18/18</t>
  </si>
  <si>
    <t>MONGGAK</t>
  </si>
  <si>
    <t>198/18/19</t>
  </si>
  <si>
    <t>BLIMBIN</t>
  </si>
  <si>
    <t>198/18/20</t>
  </si>
  <si>
    <t>GUMBANG</t>
  </si>
  <si>
    <t>198/18/21</t>
  </si>
  <si>
    <t>PADANG PAN</t>
  </si>
  <si>
    <t>198/18/22</t>
  </si>
  <si>
    <t>PUAK KROKONG</t>
  </si>
  <si>
    <t>198/19/01</t>
  </si>
  <si>
    <t>198/19/02</t>
  </si>
  <si>
    <t>SIBURAN</t>
  </si>
  <si>
    <t>198/19/03</t>
  </si>
  <si>
    <t>BRAANG</t>
  </si>
  <si>
    <t>198/19/04</t>
  </si>
  <si>
    <t>DURAS</t>
  </si>
  <si>
    <t>198/19/05</t>
  </si>
  <si>
    <t>PULASAR</t>
  </si>
  <si>
    <t>198/19/06</t>
  </si>
  <si>
    <t>NYIRU</t>
  </si>
  <si>
    <t>198/19/07</t>
  </si>
  <si>
    <t>GIAM</t>
  </si>
  <si>
    <t>198/19/08</t>
  </si>
  <si>
    <t>SIKOG</t>
  </si>
  <si>
    <t>198/19/09</t>
  </si>
  <si>
    <t>STAANG</t>
  </si>
  <si>
    <t>198/19/10</t>
  </si>
  <si>
    <t>PETAG</t>
  </si>
  <si>
    <t>198/19/11</t>
  </si>
  <si>
    <t>BAYOR</t>
  </si>
  <si>
    <t>198/19/12</t>
  </si>
  <si>
    <t>JAMBU</t>
  </si>
  <si>
    <t>198/19/13</t>
  </si>
  <si>
    <t>SEMBAN</t>
  </si>
  <si>
    <t>198/19/14</t>
  </si>
  <si>
    <t>TEBIA</t>
  </si>
  <si>
    <t>198/19/15</t>
  </si>
  <si>
    <t>DANU</t>
  </si>
  <si>
    <t>198/19/16</t>
  </si>
  <si>
    <t>TEMURANG</t>
  </si>
  <si>
    <t>198/19/17</t>
  </si>
  <si>
    <t>BENGOH</t>
  </si>
  <si>
    <t>198/19/18</t>
  </si>
  <si>
    <t>GERUNG</t>
  </si>
  <si>
    <t>198/19/19</t>
  </si>
  <si>
    <t>SEMADANG</t>
  </si>
  <si>
    <t>198/19/20</t>
  </si>
  <si>
    <t>KARU</t>
  </si>
  <si>
    <t>198/19/21</t>
  </si>
  <si>
    <t>SERATAU</t>
  </si>
  <si>
    <t>198/19/22</t>
  </si>
  <si>
    <t>PUNAU</t>
  </si>
  <si>
    <t>198/19/23</t>
  </si>
  <si>
    <t>BUNUK</t>
  </si>
  <si>
    <t>198/19/24</t>
  </si>
  <si>
    <t>BATU GONG</t>
  </si>
  <si>
    <t>198/19/25</t>
  </si>
  <si>
    <t>ANAH RAIS</t>
  </si>
  <si>
    <t>198/19/26</t>
  </si>
  <si>
    <t>SEPIT</t>
  </si>
  <si>
    <t>198/19/27</t>
  </si>
  <si>
    <t>KIDING</t>
  </si>
  <si>
    <t>198/19/28</t>
  </si>
  <si>
    <t>SIMUTI</t>
  </si>
  <si>
    <t>198/19/29</t>
  </si>
  <si>
    <t>MARAS</t>
  </si>
  <si>
    <t>198/19/30</t>
  </si>
  <si>
    <t>SADIR</t>
  </si>
  <si>
    <t>198/19/31</t>
  </si>
  <si>
    <t>PENGKALAN AMPAT</t>
  </si>
  <si>
    <t>198/19/32</t>
  </si>
  <si>
    <t>MASAAN</t>
  </si>
  <si>
    <t>198/20/01</t>
  </si>
  <si>
    <t>TIJIRAK</t>
  </si>
  <si>
    <t>198/20/02</t>
  </si>
  <si>
    <t>PETUNG</t>
  </si>
  <si>
    <t>198/20/03</t>
  </si>
  <si>
    <t>TABUAN RABAK</t>
  </si>
  <si>
    <t>198/20/04</t>
  </si>
  <si>
    <t>SIMPUK</t>
  </si>
  <si>
    <t>198/20/05</t>
  </si>
  <si>
    <t>SEKUDUK</t>
  </si>
  <si>
    <t>198/20/06</t>
  </si>
  <si>
    <t>PANCHOR</t>
  </si>
  <si>
    <t>198/20/07</t>
  </si>
  <si>
    <t>PEKAN TARAT</t>
  </si>
  <si>
    <t>198/20/08</t>
  </si>
  <si>
    <t>BAKI</t>
  </si>
  <si>
    <t>198/20/09</t>
  </si>
  <si>
    <t>AMPUNGAN</t>
  </si>
  <si>
    <t>198/20/10</t>
  </si>
  <si>
    <t>TAPAH</t>
  </si>
  <si>
    <t>198/20/11</t>
  </si>
  <si>
    <t>MUNDAI</t>
  </si>
  <si>
    <t>198/20/12</t>
  </si>
  <si>
    <t>BERATOK</t>
  </si>
  <si>
    <t>198/20/13</t>
  </si>
  <si>
    <t>PESANG</t>
  </si>
  <si>
    <t>198/20/14</t>
  </si>
  <si>
    <t>GAYU</t>
  </si>
  <si>
    <t>198/20/15</t>
  </si>
  <si>
    <t>SARIG</t>
  </si>
  <si>
    <t>198/20/16</t>
  </si>
  <si>
    <t>SIRA</t>
  </si>
  <si>
    <t>198/20/17</t>
  </si>
  <si>
    <t>TENG BUKAP</t>
  </si>
  <si>
    <t>198/20/18</t>
  </si>
  <si>
    <t>SUBANG</t>
  </si>
  <si>
    <t>198/20/19</t>
  </si>
  <si>
    <t>STABUT</t>
  </si>
  <si>
    <t>198/20/20</t>
  </si>
  <si>
    <t>PERAYA</t>
  </si>
  <si>
    <t>198/20/21</t>
  </si>
  <si>
    <t>MAANG</t>
  </si>
  <si>
    <t>198/20/22</t>
  </si>
  <si>
    <t>MERAKEP</t>
  </si>
  <si>
    <t>198/20/23</t>
  </si>
  <si>
    <t>BISIRA</t>
  </si>
  <si>
    <t>198/20/24</t>
  </si>
  <si>
    <t>DUNUK</t>
  </si>
  <si>
    <t>198/20/25</t>
  </si>
  <si>
    <t>SEMARU</t>
  </si>
  <si>
    <t>198/20/26</t>
  </si>
  <si>
    <t>BELIMBING</t>
  </si>
  <si>
    <t>198/20/27</t>
  </si>
  <si>
    <t>RETOH</t>
  </si>
  <si>
    <t>198/20/28</t>
  </si>
  <si>
    <t>SUNGAI BARIE</t>
  </si>
  <si>
    <t>198/20/29</t>
  </si>
  <si>
    <t>TARAT BARU</t>
  </si>
  <si>
    <t>198/20/30</t>
  </si>
  <si>
    <t>MUNGGU LALANG</t>
  </si>
  <si>
    <t>198/20/31</t>
  </si>
  <si>
    <t>RAYANG</t>
  </si>
  <si>
    <t>198/20/32</t>
  </si>
  <si>
    <t>SEBEMBAN</t>
  </si>
  <si>
    <t>198/20/33</t>
  </si>
  <si>
    <t>TANAH PUTEH</t>
  </si>
  <si>
    <t>199/21/01</t>
  </si>
  <si>
    <t>BENTANG</t>
  </si>
  <si>
    <t>199/21/02</t>
  </si>
  <si>
    <t>LANCHANG</t>
  </si>
  <si>
    <t>199/21/03</t>
  </si>
  <si>
    <t>199/21/04</t>
  </si>
  <si>
    <t>AMO</t>
  </si>
  <si>
    <t>199/21/05</t>
  </si>
  <si>
    <t>MENGARAT</t>
  </si>
  <si>
    <t>199/22/01</t>
  </si>
  <si>
    <t>SIBAUH</t>
  </si>
  <si>
    <t>199/22/02</t>
  </si>
  <si>
    <t>MONGKOS</t>
  </si>
  <si>
    <t>199/22/03</t>
  </si>
  <si>
    <t>199/22/04</t>
  </si>
  <si>
    <t>ANTAYAN</t>
  </si>
  <si>
    <t>199/23/01</t>
  </si>
  <si>
    <t>SEDIHAN</t>
  </si>
  <si>
    <t>199/23/02</t>
  </si>
  <si>
    <t>TRIBOH</t>
  </si>
  <si>
    <t>199/23/03</t>
  </si>
  <si>
    <t>SELABI</t>
  </si>
  <si>
    <t>199/23/04</t>
  </si>
  <si>
    <t>PASAR SERIAN</t>
  </si>
  <si>
    <t>199/23/05</t>
  </si>
  <si>
    <t>KAKAI</t>
  </si>
  <si>
    <t>199/23/06</t>
  </si>
  <si>
    <t>SERIAN HULU</t>
  </si>
  <si>
    <t>200/24/01</t>
  </si>
  <si>
    <t>SEPAYOR</t>
  </si>
  <si>
    <t>200/24/02</t>
  </si>
  <si>
    <t>SEMERA</t>
  </si>
  <si>
    <t>200/24/03</t>
  </si>
  <si>
    <t>JEMUKAN</t>
  </si>
  <si>
    <t>200/24/04</t>
  </si>
  <si>
    <t>JEMUKAN ULU</t>
  </si>
  <si>
    <t>200/24/05</t>
  </si>
  <si>
    <t>200/24/06</t>
  </si>
  <si>
    <t>SADONG JAYA ULU</t>
  </si>
  <si>
    <t>200/24/07</t>
  </si>
  <si>
    <t>JAIE</t>
  </si>
  <si>
    <t>200/24/08</t>
  </si>
  <si>
    <t>IBOI</t>
  </si>
  <si>
    <t>200/24/09</t>
  </si>
  <si>
    <t>PELANDOK</t>
  </si>
  <si>
    <t>200/25/01</t>
  </si>
  <si>
    <t>RANGKANG</t>
  </si>
  <si>
    <t>200/25/02</t>
  </si>
  <si>
    <t>PUTIN</t>
  </si>
  <si>
    <t>200/25/03</t>
  </si>
  <si>
    <t>RANGAWAN</t>
  </si>
  <si>
    <t>200/25/04</t>
  </si>
  <si>
    <t>TERASI</t>
  </si>
  <si>
    <t>200/25/05</t>
  </si>
  <si>
    <t>SENANGEH</t>
  </si>
  <si>
    <t>200/25/06</t>
  </si>
  <si>
    <t>SUNGAI BULOH</t>
  </si>
  <si>
    <t>200/25/07</t>
  </si>
  <si>
    <t>ENSENGEI</t>
  </si>
  <si>
    <t>200/25/08</t>
  </si>
  <si>
    <t>200/25/09</t>
  </si>
  <si>
    <t>TEMIANG</t>
  </si>
  <si>
    <t>200/25/10</t>
  </si>
  <si>
    <t>SAGENG</t>
  </si>
  <si>
    <t>200/25/11</t>
  </si>
  <si>
    <t>SEKENDU</t>
  </si>
  <si>
    <t>200/25/12</t>
  </si>
  <si>
    <t>SUNGAI APIN</t>
  </si>
  <si>
    <t>200/25/13</t>
  </si>
  <si>
    <t>TANJONG BELUKU</t>
  </si>
  <si>
    <t>200/25/14</t>
  </si>
  <si>
    <t>SLANGKING</t>
  </si>
  <si>
    <t>200/26/01</t>
  </si>
  <si>
    <t>KEPAYANG</t>
  </si>
  <si>
    <t>200/26/02</t>
  </si>
  <si>
    <t>ENSENGAI</t>
  </si>
  <si>
    <t>200/26/03</t>
  </si>
  <si>
    <t>SATEMAN</t>
  </si>
  <si>
    <t>200/26/04</t>
  </si>
  <si>
    <t>PANGKOR</t>
  </si>
  <si>
    <t>200/26/05</t>
  </si>
  <si>
    <t>200/26/06</t>
  </si>
  <si>
    <t>TEGELAM</t>
  </si>
  <si>
    <t>200/26/07</t>
  </si>
  <si>
    <t>KENIONG</t>
  </si>
  <si>
    <t>201/27/01</t>
  </si>
  <si>
    <t>SERUYU</t>
  </si>
  <si>
    <t>201/27/02</t>
  </si>
  <si>
    <t>SEBANGAN</t>
  </si>
  <si>
    <t>201/27/03</t>
  </si>
  <si>
    <t>201/27/04</t>
  </si>
  <si>
    <t>ENTANGOR</t>
  </si>
  <si>
    <t>201/27/05</t>
  </si>
  <si>
    <t>SENAYANG</t>
  </si>
  <si>
    <t>201/27/06</t>
  </si>
  <si>
    <t>TUNGKAH</t>
  </si>
  <si>
    <t>201/28/01</t>
  </si>
  <si>
    <t>201/28/02</t>
  </si>
  <si>
    <t>MELUDAM</t>
  </si>
  <si>
    <t>201/28/03</t>
  </si>
  <si>
    <t>SEDUKU</t>
  </si>
  <si>
    <t>201/28/04</t>
  </si>
  <si>
    <t>STUMBIN</t>
  </si>
  <si>
    <t>201/28/05</t>
  </si>
  <si>
    <t>LADONG</t>
  </si>
  <si>
    <t>201/28/06</t>
  </si>
  <si>
    <t>LAMANAK</t>
  </si>
  <si>
    <t>201/29/01</t>
  </si>
  <si>
    <t>BELADIN</t>
  </si>
  <si>
    <t>201/29/02</t>
  </si>
  <si>
    <t>UNDAI</t>
  </si>
  <si>
    <t>201/29/03</t>
  </si>
  <si>
    <t>PUSA</t>
  </si>
  <si>
    <t>202/30/01</t>
  </si>
  <si>
    <t>ISU</t>
  </si>
  <si>
    <t>202/30/02</t>
  </si>
  <si>
    <t>202/30/03</t>
  </si>
  <si>
    <t>RUAN</t>
  </si>
  <si>
    <t>202/30/04</t>
  </si>
  <si>
    <t>KEDUMPAI</t>
  </si>
  <si>
    <t>202/30/05</t>
  </si>
  <si>
    <t>UBAH</t>
  </si>
  <si>
    <t>202/30/06</t>
  </si>
  <si>
    <t>PANTU</t>
  </si>
  <si>
    <t>202/30/07</t>
  </si>
  <si>
    <t>KERANGGAS</t>
  </si>
  <si>
    <t>202/31/01</t>
  </si>
  <si>
    <t>BANTING</t>
  </si>
  <si>
    <t>202/31/02</t>
  </si>
  <si>
    <t>KARA</t>
  </si>
  <si>
    <t>202/31/03</t>
  </si>
  <si>
    <t>MELUGU</t>
  </si>
  <si>
    <t>202/31/04</t>
  </si>
  <si>
    <t>KLAUH</t>
  </si>
  <si>
    <t>202/31/05</t>
  </si>
  <si>
    <t>BUKIT BALAU</t>
  </si>
  <si>
    <t>202/32/01</t>
  </si>
  <si>
    <t>SABU</t>
  </si>
  <si>
    <t>202/32/02</t>
  </si>
  <si>
    <t>202/32/03</t>
  </si>
  <si>
    <t>LAMANAK SEBERANG</t>
  </si>
  <si>
    <t>202/32/04</t>
  </si>
  <si>
    <t>MUNGGU SABUN</t>
  </si>
  <si>
    <t>202/32/05</t>
  </si>
  <si>
    <t>SENGAT</t>
  </si>
  <si>
    <t>202/32/06</t>
  </si>
  <si>
    <t>UNDUP</t>
  </si>
  <si>
    <t>202/32/07</t>
  </si>
  <si>
    <t>BAYAI</t>
  </si>
  <si>
    <t>203/33/01</t>
  </si>
  <si>
    <t>SKRANG</t>
  </si>
  <si>
    <t>203/33/02</t>
  </si>
  <si>
    <t>ENTEBAN</t>
  </si>
  <si>
    <t>203/33/03</t>
  </si>
  <si>
    <t>ENTALAU</t>
  </si>
  <si>
    <t>203/33/04</t>
  </si>
  <si>
    <t>SEMANJU</t>
  </si>
  <si>
    <t>203/33/05</t>
  </si>
  <si>
    <t>KASENDUH</t>
  </si>
  <si>
    <t>203/33/06</t>
  </si>
  <si>
    <t>203/33/07</t>
  </si>
  <si>
    <t>TABUT</t>
  </si>
  <si>
    <t>203/33/08</t>
  </si>
  <si>
    <t>AUR</t>
  </si>
  <si>
    <t>203/33/09</t>
  </si>
  <si>
    <t>PENTIK</t>
  </si>
  <si>
    <t>203/33/10</t>
  </si>
  <si>
    <t>JUKAT</t>
  </si>
  <si>
    <t>203/33/11</t>
  </si>
  <si>
    <t>SELADONG</t>
  </si>
  <si>
    <t>203/33/12</t>
  </si>
  <si>
    <t>AKUP</t>
  </si>
  <si>
    <t>203/33/13</t>
  </si>
  <si>
    <t>MARUTIH</t>
  </si>
  <si>
    <t>203/33/14</t>
  </si>
  <si>
    <t>MUJAN</t>
  </si>
  <si>
    <t>203/33/15</t>
  </si>
  <si>
    <t>KUJOH</t>
  </si>
  <si>
    <t>203/33/16</t>
  </si>
  <si>
    <t>SPLU</t>
  </si>
  <si>
    <t>203/33/17</t>
  </si>
  <si>
    <t>MERINDUN</t>
  </si>
  <si>
    <t>203/33/18</t>
  </si>
  <si>
    <t>TAWAI</t>
  </si>
  <si>
    <t>203/33/19</t>
  </si>
  <si>
    <t>BASI</t>
  </si>
  <si>
    <t>203/33/20</t>
  </si>
  <si>
    <t>GELIGAU</t>
  </si>
  <si>
    <t>203/33/21</t>
  </si>
  <si>
    <t>SEDARAT</t>
  </si>
  <si>
    <t>203/33/22</t>
  </si>
  <si>
    <t>MAROP</t>
  </si>
  <si>
    <t>203/33/23</t>
  </si>
  <si>
    <t>MERIO</t>
  </si>
  <si>
    <t>203/33/24</t>
  </si>
  <si>
    <t>MERBONG</t>
  </si>
  <si>
    <t>203/34/01</t>
  </si>
  <si>
    <t>SEBANGKI</t>
  </si>
  <si>
    <t>203/34/02</t>
  </si>
  <si>
    <t>203/34/03</t>
  </si>
  <si>
    <t>SEKAROK</t>
  </si>
  <si>
    <t>203/34/04</t>
  </si>
  <si>
    <t>KESIT</t>
  </si>
  <si>
    <t>203/34/05</t>
  </si>
  <si>
    <t>ENGKARI</t>
  </si>
  <si>
    <t>203/34/06</t>
  </si>
  <si>
    <t>DELOK</t>
  </si>
  <si>
    <t>203/34/07</t>
  </si>
  <si>
    <t>KAONG</t>
  </si>
  <si>
    <t>203/34/08</t>
  </si>
  <si>
    <t>EMPIT</t>
  </si>
  <si>
    <t>203/34/09</t>
  </si>
  <si>
    <t>KUMPANG</t>
  </si>
  <si>
    <t>203/34/10</t>
  </si>
  <si>
    <t>KLAMPU</t>
  </si>
  <si>
    <t>203/34/11</t>
  </si>
  <si>
    <t>SAYAT</t>
  </si>
  <si>
    <t>203/34/12</t>
  </si>
  <si>
    <t>KUTAI</t>
  </si>
  <si>
    <t>203/34/13</t>
  </si>
  <si>
    <t>MEPI</t>
  </si>
  <si>
    <t>203/34/14</t>
  </si>
  <si>
    <t>JELA</t>
  </si>
  <si>
    <t>203/34/15</t>
  </si>
  <si>
    <t>SEMPANG</t>
  </si>
  <si>
    <t>203/34/16</t>
  </si>
  <si>
    <t>BERTIK</t>
  </si>
  <si>
    <t>203/34/17</t>
  </si>
  <si>
    <t>KRANGAN MONG</t>
  </si>
  <si>
    <t>203/34/18</t>
  </si>
  <si>
    <t>ENSAWANG</t>
  </si>
  <si>
    <t>203/34/19</t>
  </si>
  <si>
    <t>KACHONG</t>
  </si>
  <si>
    <t>203/34/20</t>
  </si>
  <si>
    <t>PATOH</t>
  </si>
  <si>
    <t>203/34/21</t>
  </si>
  <si>
    <t>BILARARAP</t>
  </si>
  <si>
    <t>203/34/22</t>
  </si>
  <si>
    <t>SEPAYA</t>
  </si>
  <si>
    <t>203/34/23</t>
  </si>
  <si>
    <t>GUGU</t>
  </si>
  <si>
    <t>203/34/24</t>
  </si>
  <si>
    <t>NENYANG</t>
  </si>
  <si>
    <t>204/35/01</t>
  </si>
  <si>
    <t>MANGGUT</t>
  </si>
  <si>
    <t>204/35/02</t>
  </si>
  <si>
    <t>TUI</t>
  </si>
  <si>
    <t>204/35/03</t>
  </si>
  <si>
    <t>DEBAK</t>
  </si>
  <si>
    <t>204/35/04</t>
  </si>
  <si>
    <t>BUNGIN</t>
  </si>
  <si>
    <t>204/35/05</t>
  </si>
  <si>
    <t>LIKIS</t>
  </si>
  <si>
    <t>204/35/06</t>
  </si>
  <si>
    <t>SUPA</t>
  </si>
  <si>
    <t>204/35/07</t>
  </si>
  <si>
    <t>ENGKARAS</t>
  </si>
  <si>
    <t>204/35/08</t>
  </si>
  <si>
    <t>BUDA</t>
  </si>
  <si>
    <t>204/35/09</t>
  </si>
  <si>
    <t>SERABANG</t>
  </si>
  <si>
    <t>204/35/10</t>
  </si>
  <si>
    <t>BELASAU</t>
  </si>
  <si>
    <t>204/35/11</t>
  </si>
  <si>
    <t>SABAR</t>
  </si>
  <si>
    <t>204/35/12</t>
  </si>
  <si>
    <t>DIT</t>
  </si>
  <si>
    <t>204/35/13</t>
  </si>
  <si>
    <t>DIT HULU</t>
  </si>
  <si>
    <t>204/35/14</t>
  </si>
  <si>
    <t>BUNGEI</t>
  </si>
  <si>
    <t>204/35/15</t>
  </si>
  <si>
    <t>JERAI</t>
  </si>
  <si>
    <t>204/35/16</t>
  </si>
  <si>
    <t>DEBAK LAUT</t>
  </si>
  <si>
    <t>204/35/17</t>
  </si>
  <si>
    <t>SEREMBANG</t>
  </si>
  <si>
    <t>204/35/18</t>
  </si>
  <si>
    <t>TANJONG ASSAM</t>
  </si>
  <si>
    <t>204/35/19</t>
  </si>
  <si>
    <t>204/35/20</t>
  </si>
  <si>
    <t>BELINGAN</t>
  </si>
  <si>
    <t>204/35/21</t>
  </si>
  <si>
    <t>BUDAK</t>
  </si>
  <si>
    <t>204/36/01</t>
  </si>
  <si>
    <t>SPAK</t>
  </si>
  <si>
    <t>204/36/02</t>
  </si>
  <si>
    <t>PADEH</t>
  </si>
  <si>
    <t>204/36/03</t>
  </si>
  <si>
    <t>BEBANGGAI</t>
  </si>
  <si>
    <t>204/36/04</t>
  </si>
  <si>
    <t>204/36/05</t>
  </si>
  <si>
    <t>KAMPUNG BETONG</t>
  </si>
  <si>
    <t>204/36/06</t>
  </si>
  <si>
    <t>LUBAU</t>
  </si>
  <si>
    <t>204/36/07</t>
  </si>
  <si>
    <t>PENYALANEH</t>
  </si>
  <si>
    <t>204/36/08</t>
  </si>
  <si>
    <t>JELAU</t>
  </si>
  <si>
    <t>204/36/09</t>
  </si>
  <si>
    <t>MELANJAN</t>
  </si>
  <si>
    <t>204/36/10</t>
  </si>
  <si>
    <t>TAPEH</t>
  </si>
  <si>
    <t>204/36/11</t>
  </si>
  <si>
    <t>LUING</t>
  </si>
  <si>
    <t>204/36/12</t>
  </si>
  <si>
    <t>KRAPA</t>
  </si>
  <si>
    <t>204/36/13</t>
  </si>
  <si>
    <t>TEGUYU</t>
  </si>
  <si>
    <t>204/36/14</t>
  </si>
  <si>
    <t>PERDU</t>
  </si>
  <si>
    <t>204/36/15</t>
  </si>
  <si>
    <t>DABOK</t>
  </si>
  <si>
    <t>204/36/16</t>
  </si>
  <si>
    <t>GAWIS</t>
  </si>
  <si>
    <t>204/36/17</t>
  </si>
  <si>
    <t>BALINGAM</t>
  </si>
  <si>
    <t>204/36/18</t>
  </si>
  <si>
    <t>KRON</t>
  </si>
  <si>
    <t>204/36/19</t>
  </si>
  <si>
    <t>PLEPOK</t>
  </si>
  <si>
    <t>204/36/20</t>
  </si>
  <si>
    <t>MERUNJAU</t>
  </si>
  <si>
    <t>204/36/21</t>
  </si>
  <si>
    <t>ENTANAK</t>
  </si>
  <si>
    <t>204/36/22</t>
  </si>
  <si>
    <t>SAKA</t>
  </si>
  <si>
    <t>204/36/23</t>
  </si>
  <si>
    <t>PENURIN</t>
  </si>
  <si>
    <t>204/36/24</t>
  </si>
  <si>
    <t>TANU</t>
  </si>
  <si>
    <t>204/36/25</t>
  </si>
  <si>
    <t>JUGIR</t>
  </si>
  <si>
    <t>204/36/26</t>
  </si>
  <si>
    <t>PASA</t>
  </si>
  <si>
    <t>204/36/27</t>
  </si>
  <si>
    <t>SELULAP</t>
  </si>
  <si>
    <t>204/36/28</t>
  </si>
  <si>
    <t>STAMBAK</t>
  </si>
  <si>
    <t>204/37/01</t>
  </si>
  <si>
    <t>PENUNUS</t>
  </si>
  <si>
    <t>204/37/02</t>
  </si>
  <si>
    <t>RIMBAS</t>
  </si>
  <si>
    <t>204/37/03</t>
  </si>
  <si>
    <t>SPAOH</t>
  </si>
  <si>
    <t>204/37/04</t>
  </si>
  <si>
    <t>SURI</t>
  </si>
  <si>
    <t>204/37/05</t>
  </si>
  <si>
    <t>204/37/06</t>
  </si>
  <si>
    <t>KUBAL</t>
  </si>
  <si>
    <t>204/37/07</t>
  </si>
  <si>
    <t>BRUTAN</t>
  </si>
  <si>
    <t>204/37/08</t>
  </si>
  <si>
    <t>204/37/09</t>
  </si>
  <si>
    <t>ULU TERU</t>
  </si>
  <si>
    <t>204/37/10</t>
  </si>
  <si>
    <t>METONG</t>
  </si>
  <si>
    <t>204/37/11</t>
  </si>
  <si>
    <t>DELIT</t>
  </si>
  <si>
    <t>204/37/12</t>
  </si>
  <si>
    <t>BABU</t>
  </si>
  <si>
    <t>204/37/13</t>
  </si>
  <si>
    <t>TRAIE</t>
  </si>
  <si>
    <t>204/37/14</t>
  </si>
  <si>
    <t>RAPONG</t>
  </si>
  <si>
    <t>204/37/15</t>
  </si>
  <si>
    <t>TOT</t>
  </si>
  <si>
    <t>204/37/16</t>
  </si>
  <si>
    <t>SPAOH HULU</t>
  </si>
  <si>
    <t>204/37/17</t>
  </si>
  <si>
    <t>SPAOH HILIR</t>
  </si>
  <si>
    <t>204/37/18</t>
  </si>
  <si>
    <t>BELABAK</t>
  </si>
  <si>
    <t>204/37/19</t>
  </si>
  <si>
    <t>LINGIT</t>
  </si>
  <si>
    <t>204/37/20</t>
  </si>
  <si>
    <t>PENOM</t>
  </si>
  <si>
    <t>204/37/21</t>
  </si>
  <si>
    <t>MEROH</t>
  </si>
  <si>
    <t>204/37/22</t>
  </si>
  <si>
    <t>SEPUNA</t>
  </si>
  <si>
    <t>204/37/23</t>
  </si>
  <si>
    <t>SAMU</t>
  </si>
  <si>
    <t>204/37/24</t>
  </si>
  <si>
    <t>MUTOK</t>
  </si>
  <si>
    <t>204/37/25</t>
  </si>
  <si>
    <t>PENEBAK</t>
  </si>
  <si>
    <t>204/37/26</t>
  </si>
  <si>
    <t>BAIR</t>
  </si>
  <si>
    <t>204/37/27</t>
  </si>
  <si>
    <t>204/37/28</t>
  </si>
  <si>
    <t>TIPUT</t>
  </si>
  <si>
    <t>204/37/29</t>
  </si>
  <si>
    <t>PELIKOI</t>
  </si>
  <si>
    <t>204/37/30</t>
  </si>
  <si>
    <t>JALOH</t>
  </si>
  <si>
    <t>204/37/31</t>
  </si>
  <si>
    <t>SERUDIT</t>
  </si>
  <si>
    <t>204/37/32</t>
  </si>
  <si>
    <t>MATOP</t>
  </si>
  <si>
    <t>204/37/33</t>
  </si>
  <si>
    <t>TEBERU</t>
  </si>
  <si>
    <t>204/37/34</t>
  </si>
  <si>
    <t>REMBAI</t>
  </si>
  <si>
    <t>204/37/35</t>
  </si>
  <si>
    <t>BANGKIT</t>
  </si>
  <si>
    <t>205/38/01</t>
  </si>
  <si>
    <t>PELUNGA</t>
  </si>
  <si>
    <t>205/38/02</t>
  </si>
  <si>
    <t>PERPAT</t>
  </si>
  <si>
    <t>205/38/03</t>
  </si>
  <si>
    <t>KABA</t>
  </si>
  <si>
    <t>205/38/04</t>
  </si>
  <si>
    <t>205/38/05</t>
  </si>
  <si>
    <t>TENGALAT</t>
  </si>
  <si>
    <t>205/38/06</t>
  </si>
  <si>
    <t>SENYAWAN</t>
  </si>
  <si>
    <t>205/39/01</t>
  </si>
  <si>
    <t>MUDONG</t>
  </si>
  <si>
    <t>205/39/02</t>
  </si>
  <si>
    <t>BRAYANG</t>
  </si>
  <si>
    <t>205/39/03</t>
  </si>
  <si>
    <t>BATU ANAM</t>
  </si>
  <si>
    <t>205/39/04</t>
  </si>
  <si>
    <t>DISO</t>
  </si>
  <si>
    <t>205/39/05</t>
  </si>
  <si>
    <t>AWIK</t>
  </si>
  <si>
    <t>205/39/06</t>
  </si>
  <si>
    <t>MELUPA</t>
  </si>
  <si>
    <t>205/39/07</t>
  </si>
  <si>
    <t>KABO</t>
  </si>
  <si>
    <t>205/39/08</t>
  </si>
  <si>
    <t>GERENJANG</t>
  </si>
  <si>
    <t>205/39/09</t>
  </si>
  <si>
    <t>BAJAU</t>
  </si>
  <si>
    <t>205/39/10</t>
  </si>
  <si>
    <t>KRANGAN</t>
  </si>
  <si>
    <t>205/40/01</t>
  </si>
  <si>
    <t>NYABOR</t>
  </si>
  <si>
    <t>205/40/02</t>
  </si>
  <si>
    <t>ROBAN</t>
  </si>
  <si>
    <t>205/40/03</t>
  </si>
  <si>
    <t>206/41/01</t>
  </si>
  <si>
    <t>SELALANG</t>
  </si>
  <si>
    <t>206/41/02</t>
  </si>
  <si>
    <t>BELAWAI</t>
  </si>
  <si>
    <t>206/41/03</t>
  </si>
  <si>
    <t>RAJANG</t>
  </si>
  <si>
    <t>206/41/04</t>
  </si>
  <si>
    <t>SARI</t>
  </si>
  <si>
    <t>206/41/05</t>
  </si>
  <si>
    <t>SEBERANG</t>
  </si>
  <si>
    <t>206/41/06</t>
  </si>
  <si>
    <t>NANGA LEPA</t>
  </si>
  <si>
    <t>206/42/01</t>
  </si>
  <si>
    <t>PALOH</t>
  </si>
  <si>
    <t>206/42/02</t>
  </si>
  <si>
    <t>MUPONG</t>
  </si>
  <si>
    <t>206/42/03</t>
  </si>
  <si>
    <t>206/42/04</t>
  </si>
  <si>
    <t>SAAI</t>
  </si>
  <si>
    <t>206/42/05</t>
  </si>
  <si>
    <t>TEKAJONG</t>
  </si>
  <si>
    <t>206/42/06</t>
  </si>
  <si>
    <t>BRUIT</t>
  </si>
  <si>
    <t>206/42/07</t>
  </si>
  <si>
    <t>BUNUT</t>
  </si>
  <si>
    <t>206/42/08</t>
  </si>
  <si>
    <t>BINTANGOR</t>
  </si>
  <si>
    <t>207/43/01</t>
  </si>
  <si>
    <t>SEMAH</t>
  </si>
  <si>
    <t>207/43/02</t>
  </si>
  <si>
    <t>TEBAANG</t>
  </si>
  <si>
    <t>207/43/03</t>
  </si>
  <si>
    <t>207/43/04</t>
  </si>
  <si>
    <t>LEMANG PEH</t>
  </si>
  <si>
    <t>207/43/05</t>
  </si>
  <si>
    <t>LASSA</t>
  </si>
  <si>
    <t>207/43/06</t>
  </si>
  <si>
    <t>LEBAAN</t>
  </si>
  <si>
    <t>207/44/01</t>
  </si>
  <si>
    <t>KUALA MATU</t>
  </si>
  <si>
    <t>207/44/02</t>
  </si>
  <si>
    <t>SOK</t>
  </si>
  <si>
    <t>207/44/03</t>
  </si>
  <si>
    <t>207/44/04</t>
  </si>
  <si>
    <t>SEKAAN BESAR</t>
  </si>
  <si>
    <t>207/44/05</t>
  </si>
  <si>
    <t>207/44/06</t>
  </si>
  <si>
    <t>BAWANG</t>
  </si>
  <si>
    <t>207/44/07</t>
  </si>
  <si>
    <t>TIAN</t>
  </si>
  <si>
    <t>207/44/08</t>
  </si>
  <si>
    <t>BEKUMAH</t>
  </si>
  <si>
    <t>207/44/09</t>
  </si>
  <si>
    <t>ILAS</t>
  </si>
  <si>
    <t>207/44/10</t>
  </si>
  <si>
    <t>208/45/01</t>
  </si>
  <si>
    <t>BULAT</t>
  </si>
  <si>
    <t>208/45/02</t>
  </si>
  <si>
    <t>PANTAK</t>
  </si>
  <si>
    <t>208/45/03</t>
  </si>
  <si>
    <t>208/45/04</t>
  </si>
  <si>
    <t>208/45/05</t>
  </si>
  <si>
    <t>MERUDU</t>
  </si>
  <si>
    <t>208/45/06</t>
  </si>
  <si>
    <t>PENINJAU</t>
  </si>
  <si>
    <t>208/45/07</t>
  </si>
  <si>
    <t>PAOH</t>
  </si>
  <si>
    <t>208/45/08</t>
  </si>
  <si>
    <t>NYELONG PARK</t>
  </si>
  <si>
    <t>208/46/01</t>
  </si>
  <si>
    <t>NARASIT</t>
  </si>
  <si>
    <t>208/46/02</t>
  </si>
  <si>
    <t>TULAI</t>
  </si>
  <si>
    <t>208/46/03</t>
  </si>
  <si>
    <t>KERTONG</t>
  </si>
  <si>
    <t>208/46/04</t>
  </si>
  <si>
    <t>KELUPU</t>
  </si>
  <si>
    <t>208/46/05</t>
  </si>
  <si>
    <t>BANDAR</t>
  </si>
  <si>
    <t>208/46/06</t>
  </si>
  <si>
    <t>208/46/07</t>
  </si>
  <si>
    <t>KEMANTAN</t>
  </si>
  <si>
    <t>208/46/08</t>
  </si>
  <si>
    <t>MADOR</t>
  </si>
  <si>
    <t>208/46/09</t>
  </si>
  <si>
    <t>LEMAYONG</t>
  </si>
  <si>
    <t>208/46/10</t>
  </si>
  <si>
    <t>SELEMAS</t>
  </si>
  <si>
    <t>208/46/11</t>
  </si>
  <si>
    <t>SELIDAP</t>
  </si>
  <si>
    <t>208/46/12</t>
  </si>
  <si>
    <t>NYELONG</t>
  </si>
  <si>
    <t>209/47/01</t>
  </si>
  <si>
    <t>BAYONG</t>
  </si>
  <si>
    <t>209/47/02</t>
  </si>
  <si>
    <t>SUNGAI RUSA</t>
  </si>
  <si>
    <t>209/47/03</t>
  </si>
  <si>
    <t>BABAI</t>
  </si>
  <si>
    <t>209/47/04</t>
  </si>
  <si>
    <t>LAMUJAN</t>
  </si>
  <si>
    <t>209/47/05</t>
  </si>
  <si>
    <t>WUAK</t>
  </si>
  <si>
    <t>209/47/06</t>
  </si>
  <si>
    <t>DAYU</t>
  </si>
  <si>
    <t>209/48/01</t>
  </si>
  <si>
    <t>BALUT</t>
  </si>
  <si>
    <t>209/48/02</t>
  </si>
  <si>
    <t>209/48/03</t>
  </si>
  <si>
    <t>RAYAH</t>
  </si>
  <si>
    <t>209/48/04</t>
  </si>
  <si>
    <t>209/48/05</t>
  </si>
  <si>
    <t>ENGKAMUP</t>
  </si>
  <si>
    <t>209/48/06</t>
  </si>
  <si>
    <t>ENTABAI</t>
  </si>
  <si>
    <t>209/48/07</t>
  </si>
  <si>
    <t>BEKETAN</t>
  </si>
  <si>
    <t>210/49/01</t>
  </si>
  <si>
    <t>KAJAH</t>
  </si>
  <si>
    <t>210/49/02</t>
  </si>
  <si>
    <t>BAT</t>
  </si>
  <si>
    <t>210/49/03</t>
  </si>
  <si>
    <t>SENGAYAN</t>
  </si>
  <si>
    <t>210/49/04</t>
  </si>
  <si>
    <t>MAPAI</t>
  </si>
  <si>
    <t>210/49/05</t>
  </si>
  <si>
    <t>BAWAN</t>
  </si>
  <si>
    <t>210/49/06</t>
  </si>
  <si>
    <t>PIDAI</t>
  </si>
  <si>
    <t>210/50/01</t>
  </si>
  <si>
    <t>LUKUT</t>
  </si>
  <si>
    <t>210/50/02</t>
  </si>
  <si>
    <t>210/50/03</t>
  </si>
  <si>
    <t>MAJAU</t>
  </si>
  <si>
    <t>210/50/04</t>
  </si>
  <si>
    <t>PERANAN</t>
  </si>
  <si>
    <t>210/50/05</t>
  </si>
  <si>
    <t>POI</t>
  </si>
  <si>
    <t>210/50/06</t>
  </si>
  <si>
    <t>BUKONG</t>
  </si>
  <si>
    <t>210/50/07</t>
  </si>
  <si>
    <t>LATONG</t>
  </si>
  <si>
    <t>211/51/01</t>
  </si>
  <si>
    <t>TIONG HUA</t>
  </si>
  <si>
    <t>211/51/02</t>
  </si>
  <si>
    <t>TONG SANG</t>
  </si>
  <si>
    <t>211/51/03</t>
  </si>
  <si>
    <t>KELADI</t>
  </si>
  <si>
    <t>211/51/04</t>
  </si>
  <si>
    <t>KAPOR LIMA</t>
  </si>
  <si>
    <t>211/51/05</t>
  </si>
  <si>
    <t>LEMBANGAN</t>
  </si>
  <si>
    <t>211/51/06</t>
  </si>
  <si>
    <t>UK DAIK</t>
  </si>
  <si>
    <t>211/51/07</t>
  </si>
  <si>
    <t>HARDIN</t>
  </si>
  <si>
    <t>211/51/08</t>
  </si>
  <si>
    <t>LAI CHEE</t>
  </si>
  <si>
    <t>211/51/09</t>
  </si>
  <si>
    <t>MERLIN</t>
  </si>
  <si>
    <t>211/51/10</t>
  </si>
  <si>
    <t>HUA KIEW</t>
  </si>
  <si>
    <t>211/51/11</t>
  </si>
  <si>
    <t>HIN YU</t>
  </si>
  <si>
    <t>211/51/12</t>
  </si>
  <si>
    <t>LAYANG - LAYANG</t>
  </si>
  <si>
    <t>211/51/13</t>
  </si>
  <si>
    <t>MANGGIS</t>
  </si>
  <si>
    <t>211/51/14</t>
  </si>
  <si>
    <t>MALING</t>
  </si>
  <si>
    <t>211/52/01</t>
  </si>
  <si>
    <t>ASSAN</t>
  </si>
  <si>
    <t>211/52/02</t>
  </si>
  <si>
    <t>NAMAN</t>
  </si>
  <si>
    <t>211/52/03</t>
  </si>
  <si>
    <t>PAK</t>
  </si>
  <si>
    <t>211/52/04</t>
  </si>
  <si>
    <t>211/52/05</t>
  </si>
  <si>
    <t>SALIM</t>
  </si>
  <si>
    <t>211/52/06</t>
  </si>
  <si>
    <t>211/52/07</t>
  </si>
  <si>
    <t>AIK DEE</t>
  </si>
  <si>
    <t>211/52/08</t>
  </si>
  <si>
    <t>MENYAN</t>
  </si>
  <si>
    <t>211/52/09</t>
  </si>
  <si>
    <t>SIBU JAYA</t>
  </si>
  <si>
    <t>211/52/10</t>
  </si>
  <si>
    <t>LADA</t>
  </si>
  <si>
    <t>211/52/11</t>
  </si>
  <si>
    <t>USAHA JAYA</t>
  </si>
  <si>
    <t>211/52/12</t>
  </si>
  <si>
    <t>MANTIS</t>
  </si>
  <si>
    <t>212/53/01</t>
  </si>
  <si>
    <t>212/53/02</t>
  </si>
  <si>
    <t>PENASU</t>
  </si>
  <si>
    <t>212/53/03</t>
  </si>
  <si>
    <t>212/53/04</t>
  </si>
  <si>
    <t>KUNYIT</t>
  </si>
  <si>
    <t>212/53/05</t>
  </si>
  <si>
    <t>MA'AW</t>
  </si>
  <si>
    <t>212/53/06</t>
  </si>
  <si>
    <t>SELALO</t>
  </si>
  <si>
    <t>212/53/07</t>
  </si>
  <si>
    <t>DASSAN</t>
  </si>
  <si>
    <t>212/53/08</t>
  </si>
  <si>
    <t>ENSURAI</t>
  </si>
  <si>
    <t>212/53/09</t>
  </si>
  <si>
    <t>LAN</t>
  </si>
  <si>
    <t>212/53/10</t>
  </si>
  <si>
    <t>ENGKILO</t>
  </si>
  <si>
    <t>212/53/11</t>
  </si>
  <si>
    <t>LOWER ISLAND</t>
  </si>
  <si>
    <t>212/53/12</t>
  </si>
  <si>
    <t>UPPER ISLAND</t>
  </si>
  <si>
    <t>212/53/13</t>
  </si>
  <si>
    <t>TANAH MAS</t>
  </si>
  <si>
    <t>212/54/01</t>
  </si>
  <si>
    <t>RAJANG PARK</t>
  </si>
  <si>
    <t>212/54/02</t>
  </si>
  <si>
    <t>212/54/03</t>
  </si>
  <si>
    <t>212/54/04</t>
  </si>
  <si>
    <t>DISA</t>
  </si>
  <si>
    <t>212/54/05</t>
  </si>
  <si>
    <t>SUNGAI ANTU</t>
  </si>
  <si>
    <t>212/54/06</t>
  </si>
  <si>
    <t>GAMBIR</t>
  </si>
  <si>
    <t>212/54/07</t>
  </si>
  <si>
    <t>CAMAR</t>
  </si>
  <si>
    <t>212/54/08</t>
  </si>
  <si>
    <t>MERDEKA</t>
  </si>
  <si>
    <t>212/54/09</t>
  </si>
  <si>
    <t>OYA LANE</t>
  </si>
  <si>
    <t>212/54/10</t>
  </si>
  <si>
    <t>INDAH</t>
  </si>
  <si>
    <t>212/54/11</t>
  </si>
  <si>
    <t>NIBONG</t>
  </si>
  <si>
    <t>212/55/01</t>
  </si>
  <si>
    <t>BANDONG</t>
  </si>
  <si>
    <t>212/55/02</t>
  </si>
  <si>
    <t>BAHAGIA JAYA</t>
  </si>
  <si>
    <t>212/55/03</t>
  </si>
  <si>
    <t>DATU NYABOR</t>
  </si>
  <si>
    <t>212/55/04</t>
  </si>
  <si>
    <t>ILIR NANGKA</t>
  </si>
  <si>
    <t>212/55/05</t>
  </si>
  <si>
    <t>TEKU</t>
  </si>
  <si>
    <t>212/55/06</t>
  </si>
  <si>
    <t>SEDUAN</t>
  </si>
  <si>
    <t>212/55/07</t>
  </si>
  <si>
    <t>TANGGI</t>
  </si>
  <si>
    <t>212/55/08</t>
  </si>
  <si>
    <t>RACE COURSE</t>
  </si>
  <si>
    <t>213/56/01</t>
  </si>
  <si>
    <t>TANAM</t>
  </si>
  <si>
    <t>213/56/02</t>
  </si>
  <si>
    <t>213/56/03</t>
  </si>
  <si>
    <t>KUT</t>
  </si>
  <si>
    <t>213/56/04</t>
  </si>
  <si>
    <t>BALAN</t>
  </si>
  <si>
    <t>213/56/05</t>
  </si>
  <si>
    <t>UD</t>
  </si>
  <si>
    <t>213/56/06</t>
  </si>
  <si>
    <t>BARU DALAT</t>
  </si>
  <si>
    <t>213/56/07</t>
  </si>
  <si>
    <t>SUNGAI DALAM</t>
  </si>
  <si>
    <t>213/56/08</t>
  </si>
  <si>
    <t>KLID</t>
  </si>
  <si>
    <t>213/56/09</t>
  </si>
  <si>
    <t>KEKAN</t>
  </si>
  <si>
    <t>213/56/10</t>
  </si>
  <si>
    <t>MEDONG</t>
  </si>
  <si>
    <t>213/56/11</t>
  </si>
  <si>
    <t>KUT MUARA</t>
  </si>
  <si>
    <t>213/56/12</t>
  </si>
  <si>
    <t>NARUB</t>
  </si>
  <si>
    <t>213/56/13</t>
  </si>
  <si>
    <t>213/56/14</t>
  </si>
  <si>
    <t>TERUS</t>
  </si>
  <si>
    <t>213/56/15</t>
  </si>
  <si>
    <t>TEH OYA</t>
  </si>
  <si>
    <t>213/56/16</t>
  </si>
  <si>
    <t>SENAU</t>
  </si>
  <si>
    <t>213/57/01</t>
  </si>
  <si>
    <t>BAOH</t>
  </si>
  <si>
    <t>213/57/02</t>
  </si>
  <si>
    <t>PENAT</t>
  </si>
  <si>
    <t>213/57/03</t>
  </si>
  <si>
    <t>SEBAKONG</t>
  </si>
  <si>
    <t>213/57/04</t>
  </si>
  <si>
    <t>ULU BAOH</t>
  </si>
  <si>
    <t>213/57/05</t>
  </si>
  <si>
    <t>DIJIH</t>
  </si>
  <si>
    <t>213/57/06</t>
  </si>
  <si>
    <t>ULU SIKAT</t>
  </si>
  <si>
    <t>213/57/07</t>
  </si>
  <si>
    <t>NANGA SIKAT</t>
  </si>
  <si>
    <t>213/57/08</t>
  </si>
  <si>
    <t>ENGKERBAI</t>
  </si>
  <si>
    <t>213/57/09</t>
  </si>
  <si>
    <t>PETANAK MUKAH</t>
  </si>
  <si>
    <t>213/57/10</t>
  </si>
  <si>
    <t>213/57/11</t>
  </si>
  <si>
    <t>JUDAN</t>
  </si>
  <si>
    <t>213/57/12</t>
  </si>
  <si>
    <t>KUALA LAMA</t>
  </si>
  <si>
    <t>213/57/13</t>
  </si>
  <si>
    <t>TELLIAN LAUT</t>
  </si>
  <si>
    <t>213/57/14</t>
  </si>
  <si>
    <t>213/57/15</t>
  </si>
  <si>
    <t>PENAKOP PERMAI</t>
  </si>
  <si>
    <t>213/58/01</t>
  </si>
  <si>
    <t>LITONG</t>
  </si>
  <si>
    <t>213/58/02</t>
  </si>
  <si>
    <t>PENAKOP</t>
  </si>
  <si>
    <t>213/58/03</t>
  </si>
  <si>
    <t>TEMESU</t>
  </si>
  <si>
    <t>213/58/04</t>
  </si>
  <si>
    <t>213/58/05</t>
  </si>
  <si>
    <t>TUTUS</t>
  </si>
  <si>
    <t>213/58/06</t>
  </si>
  <si>
    <t>JEBUNGAN</t>
  </si>
  <si>
    <t>213/58/07</t>
  </si>
  <si>
    <t>KENYANA</t>
  </si>
  <si>
    <t>213/58/08</t>
  </si>
  <si>
    <t>SESOK</t>
  </si>
  <si>
    <t>213/58/09</t>
  </si>
  <si>
    <t>ULU BEDENGAN</t>
  </si>
  <si>
    <t>213/58/10</t>
  </si>
  <si>
    <t>BEDENGAN</t>
  </si>
  <si>
    <t>213/58/11</t>
  </si>
  <si>
    <t>PENIPAH</t>
  </si>
  <si>
    <t>213/58/12</t>
  </si>
  <si>
    <t>KUALA BALINGIAN</t>
  </si>
  <si>
    <t>213/58/13</t>
  </si>
  <si>
    <t>SUYONG</t>
  </si>
  <si>
    <t>213/58/14</t>
  </si>
  <si>
    <t>LIOK</t>
  </si>
  <si>
    <t>214/59/01</t>
  </si>
  <si>
    <t>SIONG</t>
  </si>
  <si>
    <t>214/59/02</t>
  </si>
  <si>
    <t>214/59/03</t>
  </si>
  <si>
    <t>SEKUAU</t>
  </si>
  <si>
    <t>214/59/04</t>
  </si>
  <si>
    <t>214/59/05</t>
  </si>
  <si>
    <t>LEMAI</t>
  </si>
  <si>
    <t>214/60/01</t>
  </si>
  <si>
    <t>214/60/02</t>
  </si>
  <si>
    <t>ARIP</t>
  </si>
  <si>
    <t>214/60/03</t>
  </si>
  <si>
    <t>TATAU-BUAN</t>
  </si>
  <si>
    <t>214/60/04</t>
  </si>
  <si>
    <t>214/60/05</t>
  </si>
  <si>
    <t>ANAP</t>
  </si>
  <si>
    <t>214/60/06</t>
  </si>
  <si>
    <t>TATAU</t>
  </si>
  <si>
    <t>214/60/07</t>
  </si>
  <si>
    <t>LUBOK KUMPAI</t>
  </si>
  <si>
    <t>214/60/08</t>
  </si>
  <si>
    <t>BEKIRAN</t>
  </si>
  <si>
    <t>214/60/09</t>
  </si>
  <si>
    <t>TEKALIT</t>
  </si>
  <si>
    <t>214/60/10</t>
  </si>
  <si>
    <t>RUNGAN</t>
  </si>
  <si>
    <t>214/60/11</t>
  </si>
  <si>
    <t>GIRI</t>
  </si>
  <si>
    <t>214/60/12</t>
  </si>
  <si>
    <t>KELEBU</t>
  </si>
  <si>
    <t>214/60/13</t>
  </si>
  <si>
    <t>ENTAJUM</t>
  </si>
  <si>
    <t>214/60/14</t>
  </si>
  <si>
    <t>ULU SANGAN</t>
  </si>
  <si>
    <t>214/60/15</t>
  </si>
  <si>
    <t>SANGAN</t>
  </si>
  <si>
    <t>214/60/16</t>
  </si>
  <si>
    <t>PENYARAI</t>
  </si>
  <si>
    <t>214/60/17</t>
  </si>
  <si>
    <t>KULAU BELUNGAI</t>
  </si>
  <si>
    <t>214/60/18</t>
  </si>
  <si>
    <t>MUPUT</t>
  </si>
  <si>
    <t>214/60/19</t>
  </si>
  <si>
    <t>PASIR NANGKA</t>
  </si>
  <si>
    <t>214/60/20</t>
  </si>
  <si>
    <t>NANGA EMPANG</t>
  </si>
  <si>
    <t>214/60/21</t>
  </si>
  <si>
    <t>KANA</t>
  </si>
  <si>
    <t>214/60/22</t>
  </si>
  <si>
    <t>SETUSOR</t>
  </si>
  <si>
    <t>214/60/23</t>
  </si>
  <si>
    <t>TAU</t>
  </si>
  <si>
    <t>214/60/24</t>
  </si>
  <si>
    <t>TAKAN</t>
  </si>
  <si>
    <t>214/60/25</t>
  </si>
  <si>
    <t>ANNAU</t>
  </si>
  <si>
    <t>215/61/01</t>
  </si>
  <si>
    <t>215/61/02</t>
  </si>
  <si>
    <t>SUNGAI AMANG</t>
  </si>
  <si>
    <t>215/61/03</t>
  </si>
  <si>
    <t>NANGA PERARAN</t>
  </si>
  <si>
    <t>215/61/04</t>
  </si>
  <si>
    <t>SUT</t>
  </si>
  <si>
    <t>215/62/01</t>
  </si>
  <si>
    <t>MANAP</t>
  </si>
  <si>
    <t>215/62/02</t>
  </si>
  <si>
    <t>TEMELAT</t>
  </si>
  <si>
    <t>215/62/03</t>
  </si>
  <si>
    <t>SONG</t>
  </si>
  <si>
    <t>215/62/04</t>
  </si>
  <si>
    <t>215/62/05</t>
  </si>
  <si>
    <t>TAPANG</t>
  </si>
  <si>
    <t>215/62/06</t>
  </si>
  <si>
    <t>215/62/07</t>
  </si>
  <si>
    <t>215/63/01</t>
  </si>
  <si>
    <t>SUNGAI KAPIT</t>
  </si>
  <si>
    <t>215/63/02</t>
  </si>
  <si>
    <t>215/63/03</t>
  </si>
  <si>
    <t>MENUAN</t>
  </si>
  <si>
    <t>215/63/04</t>
  </si>
  <si>
    <t>IBAU</t>
  </si>
  <si>
    <t>215/63/05</t>
  </si>
  <si>
    <t>KAMPUNG BARU</t>
  </si>
  <si>
    <t>215/63/06</t>
  </si>
  <si>
    <t>SELIRIK</t>
  </si>
  <si>
    <t>215/63/07</t>
  </si>
  <si>
    <t>SIBAU</t>
  </si>
  <si>
    <t>215/63/08</t>
  </si>
  <si>
    <t>ENTANGAI</t>
  </si>
  <si>
    <t>216/64/01</t>
  </si>
  <si>
    <t>GAAT</t>
  </si>
  <si>
    <t>216/64/02</t>
  </si>
  <si>
    <t>MUJONG</t>
  </si>
  <si>
    <t>216/64/03</t>
  </si>
  <si>
    <t>MELINAU</t>
  </si>
  <si>
    <t>216/64/04</t>
  </si>
  <si>
    <t>216/64/05</t>
  </si>
  <si>
    <t>MERIRAI</t>
  </si>
  <si>
    <t>216/65/01</t>
  </si>
  <si>
    <t>DATA KAKUS</t>
  </si>
  <si>
    <t>216/65/02</t>
  </si>
  <si>
    <t>MERIT</t>
  </si>
  <si>
    <t>216/65/03</t>
  </si>
  <si>
    <t>BA</t>
  </si>
  <si>
    <t>216/65/04</t>
  </si>
  <si>
    <t>216/65/05</t>
  </si>
  <si>
    <t>LONG BUSANG</t>
  </si>
  <si>
    <t>216/65/06</t>
  </si>
  <si>
    <t>LONG BANGAN</t>
  </si>
  <si>
    <t>216/65/07</t>
  </si>
  <si>
    <t>LONG SEMUTUT</t>
  </si>
  <si>
    <t>216/66/01</t>
  </si>
  <si>
    <t>LONG MURUM</t>
  </si>
  <si>
    <t>216/66/02</t>
  </si>
  <si>
    <t>ASAP</t>
  </si>
  <si>
    <t>216/66/03</t>
  </si>
  <si>
    <t>TUBAU</t>
  </si>
  <si>
    <t>217/67/01</t>
  </si>
  <si>
    <t>KUALA TATAU</t>
  </si>
  <si>
    <t>217/67/02</t>
  </si>
  <si>
    <t>SRI DAGANG</t>
  </si>
  <si>
    <t>217/67/03</t>
  </si>
  <si>
    <t>217/67/04</t>
  </si>
  <si>
    <t>SEGAN</t>
  </si>
  <si>
    <t>217/67/05</t>
  </si>
  <si>
    <t>SUNGAI NYIGU</t>
  </si>
  <si>
    <t>217/67/06</t>
  </si>
  <si>
    <t>RPR SEBIEW</t>
  </si>
  <si>
    <t>217/68/01</t>
  </si>
  <si>
    <t>BINTULU TOWN</t>
  </si>
  <si>
    <t>217/68/02</t>
  </si>
  <si>
    <t>BUKIT ORANG</t>
  </si>
  <si>
    <t>217/68/03</t>
  </si>
  <si>
    <t>TANJUNG BATU</t>
  </si>
  <si>
    <t>217/68/04</t>
  </si>
  <si>
    <t>LI HUA</t>
  </si>
  <si>
    <t>217/68/05</t>
  </si>
  <si>
    <t>DESA DAMAI</t>
  </si>
  <si>
    <t>217/68/06</t>
  </si>
  <si>
    <t>BATU LIMA</t>
  </si>
  <si>
    <t>217/69/01</t>
  </si>
  <si>
    <t>SEBAUH</t>
  </si>
  <si>
    <t>217/69/02</t>
  </si>
  <si>
    <t>LABANG</t>
  </si>
  <si>
    <t>217/69/03</t>
  </si>
  <si>
    <t>HULU SUAI</t>
  </si>
  <si>
    <t>217/69/04</t>
  </si>
  <si>
    <t>SEKALOH</t>
  </si>
  <si>
    <t>217/69/05</t>
  </si>
  <si>
    <t>SUNGAI SEBAUH</t>
  </si>
  <si>
    <t>217/69/06</t>
  </si>
  <si>
    <t>SEBUNGAN</t>
  </si>
  <si>
    <t>217/69/07</t>
  </si>
  <si>
    <t>PANDAN</t>
  </si>
  <si>
    <t>217/69/08</t>
  </si>
  <si>
    <t>GOYANG</t>
  </si>
  <si>
    <t>217/69/09</t>
  </si>
  <si>
    <t>SUBIS SATU</t>
  </si>
  <si>
    <t>217/70/01</t>
  </si>
  <si>
    <t>SIBIEW SIMILAJAU</t>
  </si>
  <si>
    <t>217/70/02</t>
  </si>
  <si>
    <t>TANJUNG KIDURONG</t>
  </si>
  <si>
    <t>217/70/03</t>
  </si>
  <si>
    <t>SUAI</t>
  </si>
  <si>
    <t>217/70/04</t>
  </si>
  <si>
    <t>MELOR</t>
  </si>
  <si>
    <t>217/70/05</t>
  </si>
  <si>
    <t>MAWAR</t>
  </si>
  <si>
    <t>217/70/06</t>
  </si>
  <si>
    <t>RPR KIDURONG</t>
  </si>
  <si>
    <t>217/70/07</t>
  </si>
  <si>
    <t>LKTS SUAI</t>
  </si>
  <si>
    <t>218/71/01</t>
  </si>
  <si>
    <t>BATU NIAH</t>
  </si>
  <si>
    <t>218/71/02</t>
  </si>
  <si>
    <t>NIAH</t>
  </si>
  <si>
    <t>218/71/03</t>
  </si>
  <si>
    <t>SAEH</t>
  </si>
  <si>
    <t>218/71/04</t>
  </si>
  <si>
    <t>KELULIT</t>
  </si>
  <si>
    <t>218/71/05</t>
  </si>
  <si>
    <t>TIRIS</t>
  </si>
  <si>
    <t>218/71/06</t>
  </si>
  <si>
    <t>BUNGAI</t>
  </si>
  <si>
    <t>218/71/07</t>
  </si>
  <si>
    <t>BEKANU</t>
  </si>
  <si>
    <t>218/71/08</t>
  </si>
  <si>
    <t>BAKAS</t>
  </si>
  <si>
    <t>218/71/09</t>
  </si>
  <si>
    <t>HULU SIBUTI</t>
  </si>
  <si>
    <t>218/72/01</t>
  </si>
  <si>
    <t>218/72/02</t>
  </si>
  <si>
    <t>SATAP</t>
  </si>
  <si>
    <t>218/72/03</t>
  </si>
  <si>
    <t>BAKAM</t>
  </si>
  <si>
    <t>218/72/04</t>
  </si>
  <si>
    <t>218/72/05</t>
  </si>
  <si>
    <t>AIRPORT</t>
  </si>
  <si>
    <t>218/72/06</t>
  </si>
  <si>
    <t>218/72/07</t>
  </si>
  <si>
    <t>RAMD</t>
  </si>
  <si>
    <t>219/73/01</t>
  </si>
  <si>
    <t>KUBU</t>
  </si>
  <si>
    <t>219/73/02</t>
  </si>
  <si>
    <t>219/73/03</t>
  </si>
  <si>
    <t>MERBAU</t>
  </si>
  <si>
    <t>219/73/04</t>
  </si>
  <si>
    <t>MERPATI</t>
  </si>
  <si>
    <t>219/73/05</t>
  </si>
  <si>
    <t>219/73/06</t>
  </si>
  <si>
    <t>BINTANG</t>
  </si>
  <si>
    <t>219/73/07</t>
  </si>
  <si>
    <t>LUTONG</t>
  </si>
  <si>
    <t>219/73/08</t>
  </si>
  <si>
    <t>TANJONG</t>
  </si>
  <si>
    <t>219/73/09</t>
  </si>
  <si>
    <t>LUAK</t>
  </si>
  <si>
    <t>219/74/01</t>
  </si>
  <si>
    <t>219/74/02</t>
  </si>
  <si>
    <t>KROKOP</t>
  </si>
  <si>
    <t>219/75/01</t>
  </si>
  <si>
    <t>KUALA BARAM</t>
  </si>
  <si>
    <t>219/75/02</t>
  </si>
  <si>
    <t>LOPENG</t>
  </si>
  <si>
    <t>219/75/03</t>
  </si>
  <si>
    <t>220/76/01</t>
  </si>
  <si>
    <t>NABOR</t>
  </si>
  <si>
    <t>220/76/02</t>
  </si>
  <si>
    <t>PENGALAYAN</t>
  </si>
  <si>
    <t>220/76/03</t>
  </si>
  <si>
    <t>220/76/04</t>
  </si>
  <si>
    <t>BELURU</t>
  </si>
  <si>
    <t>220/76/05</t>
  </si>
  <si>
    <t>TERUKING</t>
  </si>
  <si>
    <t>220/76/06</t>
  </si>
  <si>
    <t>LONG TERU</t>
  </si>
  <si>
    <t>220/76/07</t>
  </si>
  <si>
    <t>JEGAN</t>
  </si>
  <si>
    <t>220/77/01</t>
  </si>
  <si>
    <t>LONG MIRI</t>
  </si>
  <si>
    <t>220/77/02</t>
  </si>
  <si>
    <t>PANA</t>
  </si>
  <si>
    <t>220/77/03</t>
  </si>
  <si>
    <t>AKAHPATAH</t>
  </si>
  <si>
    <t>220/77/04</t>
  </si>
  <si>
    <t>SAN</t>
  </si>
  <si>
    <t>220/77/05</t>
  </si>
  <si>
    <t>LONG LAMA</t>
  </si>
  <si>
    <t>220/77/06</t>
  </si>
  <si>
    <t>APOH</t>
  </si>
  <si>
    <t>220/78/01</t>
  </si>
  <si>
    <t>LUBOK NIBONG</t>
  </si>
  <si>
    <t>220/78/02</t>
  </si>
  <si>
    <t>PUYUT</t>
  </si>
  <si>
    <t>220/78/03</t>
  </si>
  <si>
    <t>LIOMATU</t>
  </si>
  <si>
    <t>220/78/04</t>
  </si>
  <si>
    <t>TUTOH</t>
  </si>
  <si>
    <t>220/78/05</t>
  </si>
  <si>
    <t>LONG PELUAN</t>
  </si>
  <si>
    <t>220/78/06</t>
  </si>
  <si>
    <t>BARIO</t>
  </si>
  <si>
    <t>220/78/07</t>
  </si>
  <si>
    <t>PA'LUNGAN</t>
  </si>
  <si>
    <t>220/78/08</t>
  </si>
  <si>
    <t>DANO</t>
  </si>
  <si>
    <t>220/78/09</t>
  </si>
  <si>
    <t>REMUDU</t>
  </si>
  <si>
    <t>220/78/10</t>
  </si>
  <si>
    <t>LELLANG</t>
  </si>
  <si>
    <t>221/79/01</t>
  </si>
  <si>
    <t>RANGGAU</t>
  </si>
  <si>
    <t>221/79/02</t>
  </si>
  <si>
    <t>SEBUKANG</t>
  </si>
  <si>
    <t>221/79/03</t>
  </si>
  <si>
    <t>TABAHAN</t>
  </si>
  <si>
    <t>221/79/04</t>
  </si>
  <si>
    <t>BANGKITA</t>
  </si>
  <si>
    <t>221/79/05</t>
  </si>
  <si>
    <t>221/79/06</t>
  </si>
  <si>
    <t>POYAN</t>
  </si>
  <si>
    <t>221/79/07</t>
  </si>
  <si>
    <t>221/79/08</t>
  </si>
  <si>
    <t>PENDAM</t>
  </si>
  <si>
    <t>221/79/09</t>
  </si>
  <si>
    <t>TELAHAK</t>
  </si>
  <si>
    <t>221/79/10</t>
  </si>
  <si>
    <t>BERAWAN</t>
  </si>
  <si>
    <t>221/80/01</t>
  </si>
  <si>
    <t>DANAU</t>
  </si>
  <si>
    <t>221/80/02</t>
  </si>
  <si>
    <t>LUBAI</t>
  </si>
  <si>
    <t>221/80/03</t>
  </si>
  <si>
    <t>UKONG</t>
  </si>
  <si>
    <t>221/80/04</t>
  </si>
  <si>
    <t>MEDIHIT</t>
  </si>
  <si>
    <t>221/80/05</t>
  </si>
  <si>
    <t>MEDAMIT</t>
  </si>
  <si>
    <t>222/81/01</t>
  </si>
  <si>
    <t>SEMADOH</t>
  </si>
  <si>
    <t>222/81/02</t>
  </si>
  <si>
    <t>BERIWAN</t>
  </si>
  <si>
    <t>222/81/03</t>
  </si>
  <si>
    <t>MALIGAN</t>
  </si>
  <si>
    <t>222/81/04</t>
  </si>
  <si>
    <t>TRUSAN</t>
  </si>
  <si>
    <t>222/81/05</t>
  </si>
  <si>
    <t>SUKANG</t>
  </si>
  <si>
    <t>222/81/06</t>
  </si>
  <si>
    <t>LUPENG</t>
  </si>
  <si>
    <t>222/81/07</t>
  </si>
  <si>
    <t>222/81/08</t>
  </si>
  <si>
    <t>TEMAROP</t>
  </si>
  <si>
    <t>222/81/09</t>
  </si>
  <si>
    <t>SUANG</t>
  </si>
  <si>
    <t>222/81/10</t>
  </si>
  <si>
    <t>TALIS</t>
  </si>
  <si>
    <t>222/81/11</t>
  </si>
  <si>
    <t>LAPADAN</t>
  </si>
  <si>
    <t>222/81/12</t>
  </si>
  <si>
    <t>TENGOA</t>
  </si>
  <si>
    <t>222/81/13</t>
  </si>
  <si>
    <t>TUMA</t>
  </si>
  <si>
    <t>222/81/14</t>
  </si>
  <si>
    <t>PENGALEH</t>
  </si>
  <si>
    <t>222/81/15</t>
  </si>
  <si>
    <t>SIANG</t>
  </si>
  <si>
    <t>222/81/16</t>
  </si>
  <si>
    <t>PANGI</t>
  </si>
  <si>
    <t>222/81/17</t>
  </si>
  <si>
    <t>BATU TIGA</t>
  </si>
  <si>
    <t>222/81/18</t>
  </si>
  <si>
    <t>LAMPAKI</t>
  </si>
  <si>
    <t>222/81/19</t>
  </si>
  <si>
    <t>MUNCU</t>
  </si>
  <si>
    <t>222/81/20</t>
  </si>
  <si>
    <t>RANCHANGAN</t>
  </si>
  <si>
    <t>222/82/01</t>
  </si>
  <si>
    <t>SUNDAR</t>
  </si>
  <si>
    <t>222/82/02</t>
  </si>
  <si>
    <t>222/82/03</t>
  </si>
  <si>
    <t>MERAPOK</t>
  </si>
  <si>
    <t>222/82/04</t>
  </si>
  <si>
    <t>222/82/05</t>
  </si>
  <si>
    <t>GELAPAS</t>
  </si>
  <si>
    <t>222/82/06</t>
  </si>
  <si>
    <t>AWAT</t>
  </si>
  <si>
    <t>222/82/07</t>
  </si>
  <si>
    <t>BARU</t>
  </si>
  <si>
    <t>222/82/08</t>
  </si>
  <si>
    <t>LUAGAN</t>
  </si>
  <si>
    <t>222/82/09</t>
  </si>
  <si>
    <t>ARU</t>
  </si>
  <si>
    <t>222/82/10</t>
  </si>
  <si>
    <t>PAGAR</t>
  </si>
  <si>
    <t>222/82/11</t>
  </si>
  <si>
    <t>KATONG</t>
  </si>
  <si>
    <t>222/82/12</t>
  </si>
  <si>
    <t>PEMUKAT</t>
  </si>
  <si>
    <t>222/82/13</t>
  </si>
  <si>
    <t>DATO</t>
  </si>
  <si>
    <t>222/82/14</t>
  </si>
  <si>
    <t>BELIPAT</t>
  </si>
  <si>
    <t>222/82/15</t>
  </si>
  <si>
    <t>SUALAI</t>
  </si>
  <si>
    <t>222/82/16</t>
  </si>
  <si>
    <t>PUNANG</t>
  </si>
  <si>
    <t>222/82/17</t>
  </si>
  <si>
    <t>SIBAGOL</t>
  </si>
  <si>
    <t>222/82/18</t>
  </si>
  <si>
    <t>MELUSOK</t>
  </si>
  <si>
    <t>222/82/19</t>
  </si>
  <si>
    <t>TEMANGIS</t>
  </si>
  <si>
    <t>222/82/20</t>
  </si>
  <si>
    <t>MISSION</t>
  </si>
  <si>
    <t>222/82/21</t>
  </si>
  <si>
    <t>LADANG BARU</t>
  </si>
  <si>
    <t>222/82/22</t>
  </si>
  <si>
    <t>SILAT</t>
  </si>
  <si>
    <t>POLLING DISTRICT CODE (2022)</t>
  </si>
  <si>
    <t>POLLING DISTRICT NAME (2022)</t>
  </si>
  <si>
    <t>PROPOSED POLLING DISTRICT NAME (2025)</t>
  </si>
  <si>
    <t>PROPOSED POLLING DISTRICT CODE (2025)</t>
  </si>
  <si>
    <t>JAMBUSAN</t>
  </si>
  <si>
    <t>BOBAK</t>
  </si>
  <si>
    <t>KAMPUNG MATANG</t>
  </si>
  <si>
    <t>PALMA INDAH</t>
  </si>
  <si>
    <t>BATU TUJUH MATANG</t>
  </si>
  <si>
    <t>TAMAN HENG GUAN</t>
  </si>
  <si>
    <t>MATANG JAYA</t>
  </si>
  <si>
    <t>KOLONG DUA</t>
  </si>
  <si>
    <t>KOLONG SATU</t>
  </si>
  <si>
    <t>MALIHAH</t>
  </si>
  <si>
    <t>TAMAN YEN YEN</t>
  </si>
  <si>
    <t>TAMAN WON</t>
  </si>
  <si>
    <t>RANTAU PANJANG BATU KAWA</t>
  </si>
  <si>
    <t>STEPHEN YONG</t>
  </si>
  <si>
    <t>DESA WIRA</t>
  </si>
  <si>
    <t>SKIM PENEMPATAN BATU KAWA</t>
  </si>
  <si>
    <t>KAMPUNG STAPOK</t>
  </si>
  <si>
    <t>FIELD FORCE</t>
  </si>
  <si>
    <t>BATU KAWAH LOW COST</t>
  </si>
  <si>
    <t>SINAR BUDI</t>
  </si>
  <si>
    <t>SUDAT</t>
  </si>
  <si>
    <t>PENGKALAN BARU</t>
  </si>
  <si>
    <t>TEMATU</t>
  </si>
  <si>
    <t>SEMEBA</t>
  </si>
  <si>
    <t>BUMBOK</t>
  </si>
  <si>
    <t>KOTA PADAWAN</t>
  </si>
  <si>
    <t>LANDEH</t>
  </si>
  <si>
    <t>PAYA MEBI</t>
  </si>
  <si>
    <t>RCBM</t>
  </si>
  <si>
    <t>SUNGAI LUBAK</t>
  </si>
  <si>
    <t>STUTONG</t>
  </si>
  <si>
    <t>STUTONG BARU</t>
  </si>
  <si>
    <t>AIRPORT KUCHING</t>
  </si>
  <si>
    <t>KEM TENTERA BATU TUJUH</t>
  </si>
  <si>
    <t>JALAN STAKAN</t>
  </si>
  <si>
    <t>KAMPUNG SUNGAI TAPANG</t>
  </si>
  <si>
    <t>SUNGAI TAPANG</t>
  </si>
  <si>
    <t>BAKONG</t>
  </si>
  <si>
    <t>TANJONG BIJAT</t>
  </si>
  <si>
    <t>KAMPUNG SEBENA</t>
  </si>
  <si>
    <t>STUBAH</t>
  </si>
  <si>
    <t>MASJID BARU</t>
  </si>
  <si>
    <t>MUARA PAYANG</t>
  </si>
  <si>
    <t>KAMPUNG PENASU</t>
  </si>
  <si>
    <t>SINGAT</t>
  </si>
  <si>
    <t>SUNGAI LENGAN</t>
  </si>
  <si>
    <t>PASSIN</t>
  </si>
  <si>
    <t>SAWAI</t>
  </si>
  <si>
    <t>SUNGAI PANDAN</t>
  </si>
  <si>
    <t>BUKIT PENYAU</t>
  </si>
  <si>
    <t>NANGA SALIM</t>
  </si>
  <si>
    <t>SUNGAI SALIM</t>
  </si>
  <si>
    <t>SUNGAI NIBONG</t>
  </si>
  <si>
    <t>PULAU KERTO</t>
  </si>
  <si>
    <t>BUKIT ASSAN</t>
  </si>
  <si>
    <t>TANJUNG LATAP</t>
  </si>
  <si>
    <t>BATU WONG</t>
  </si>
  <si>
    <t>SUNGAI DURIN</t>
  </si>
  <si>
    <t>SUNGAI TELIAN</t>
  </si>
  <si>
    <t>AU YONG</t>
  </si>
  <si>
    <t>CHERRY</t>
  </si>
  <si>
    <t>DUNG SANG</t>
  </si>
  <si>
    <t>LOTUS</t>
  </si>
  <si>
    <t>KWONG ANN</t>
  </si>
  <si>
    <t>NANG SANG</t>
  </si>
  <si>
    <t>KAMPUNG HILIR</t>
  </si>
  <si>
    <t>SUNGAI BIDUT</t>
  </si>
  <si>
    <t>WAWASAN</t>
  </si>
  <si>
    <t>SUNGAI TEKU</t>
  </si>
  <si>
    <t>RANTAU PANJANG</t>
  </si>
  <si>
    <t>SENTOSA</t>
  </si>
  <si>
    <t>RASCOM</t>
  </si>
  <si>
    <t>PERMAI</t>
  </si>
  <si>
    <t>KEMUYANG</t>
  </si>
  <si>
    <t>SUNGAI AUP</t>
  </si>
  <si>
    <t>RANDI</t>
  </si>
  <si>
    <t>NANGA ENSAWI</t>
  </si>
  <si>
    <t>NANGA PILA</t>
  </si>
  <si>
    <t>NANGA METAH</t>
  </si>
  <si>
    <t>LUBOK DABAI</t>
  </si>
  <si>
    <t>TELUK GIMANG</t>
  </si>
  <si>
    <t>NANGA BAWAI</t>
  </si>
  <si>
    <t>ANTAROH</t>
  </si>
  <si>
    <t>NANGA BENA</t>
  </si>
  <si>
    <t>KEBIAW</t>
  </si>
  <si>
    <t>ULU METAH</t>
  </si>
  <si>
    <t>LONG WAT</t>
  </si>
  <si>
    <t>LONG TANYIT</t>
  </si>
  <si>
    <t>LONG LIDAM</t>
  </si>
  <si>
    <t>LONG LUAR</t>
  </si>
  <si>
    <t>JELALONG</t>
  </si>
  <si>
    <t>LONG TEBILA</t>
  </si>
  <si>
    <t>SUNGAI TANGAP</t>
  </si>
  <si>
    <t>PAKUT</t>
  </si>
  <si>
    <t>LADANG DUA</t>
  </si>
  <si>
    <t>SKRAT</t>
  </si>
  <si>
    <t>BUKIT BOM</t>
  </si>
  <si>
    <t>SEPUPOK</t>
  </si>
  <si>
    <t>TARIKAN</t>
  </si>
  <si>
    <t>TANJUNG BELIPAT</t>
  </si>
  <si>
    <t>SAEH MERAH</t>
  </si>
  <si>
    <t>LADANG TIGA</t>
  </si>
  <si>
    <t>ESSAU</t>
  </si>
  <si>
    <t>MENJELIN</t>
  </si>
  <si>
    <t>ANGUS</t>
  </si>
  <si>
    <t>SELANYAU</t>
  </si>
  <si>
    <t>TERAHAD</t>
  </si>
  <si>
    <t>SUNGAI KELINTANG</t>
  </si>
  <si>
    <t>KAMPUNG LOPENG</t>
  </si>
  <si>
    <t>CANADA HILL</t>
  </si>
  <si>
    <t>JEE FOH UTAMA</t>
  </si>
  <si>
    <t>KROKOP UTAMA</t>
  </si>
  <si>
    <t>BOULEVARD</t>
  </si>
  <si>
    <t>DESA SERI</t>
  </si>
  <si>
    <t>PIASAU JAYA</t>
  </si>
  <si>
    <t>PUJUT LUTONG</t>
  </si>
  <si>
    <t>PUJUT EMPAT</t>
  </si>
  <si>
    <t>PUJUT TUJOH</t>
  </si>
  <si>
    <t>TAMAN TUNKU</t>
  </si>
  <si>
    <t>PADANG KERBAU</t>
  </si>
  <si>
    <t>SUNGAI TENIKU</t>
  </si>
  <si>
    <t>DESA PUJUT</t>
  </si>
  <si>
    <t>PADANG BELON</t>
  </si>
  <si>
    <t>PUJUT CORNER</t>
  </si>
  <si>
    <t>PUJUT ADONG</t>
  </si>
  <si>
    <t>PRIMA VILLA</t>
  </si>
  <si>
    <t>KAMPUNG TUDAN</t>
  </si>
  <si>
    <t>PENGKALAN LUTONG</t>
  </si>
  <si>
    <t>FASA EMPAT TUDAN</t>
  </si>
  <si>
    <t>KAMPUNG SENADIN</t>
  </si>
  <si>
    <t>ASAM PAYA</t>
  </si>
  <si>
    <t>FASA DUA TUDAN</t>
  </si>
  <si>
    <t>DESA INDAH</t>
  </si>
  <si>
    <t>RPR PERMYJAYA</t>
  </si>
  <si>
    <t>FASA ENAM TUDAN</t>
  </si>
  <si>
    <t>PROMIN JAYA</t>
  </si>
  <si>
    <t>DESA SENADIN</t>
  </si>
  <si>
    <t>DESA MURNI</t>
  </si>
  <si>
    <t>SUNGAI KUAP</t>
  </si>
  <si>
    <t>GISANG SINGAT</t>
  </si>
  <si>
    <t>NANGA BALEH</t>
  </si>
  <si>
    <t>Abolished. Subdivided into Sungai Bidut, Wawasan and Sungai Teku</t>
  </si>
  <si>
    <t>NOTES</t>
  </si>
  <si>
    <t>Shifted between DUN</t>
  </si>
  <si>
    <t>Shifted between Parliament</t>
  </si>
  <si>
    <t>Parent DUN Constituency was renamed from Tarat to Bung Sadung</t>
  </si>
  <si>
    <t>Parent DUN Constituency renamed from Semop to Muara Lassa</t>
  </si>
  <si>
    <t>Parent DUN Constituency renamed from Jemoreng to Matu</t>
  </si>
  <si>
    <t>Abolished. Subdivided into Batu Wong,Tanjong Latap, Bukit Assan and Pulau Kerto</t>
  </si>
  <si>
    <t>Parent DUN Constituency renamed from Bawang Assan to Rassau</t>
  </si>
  <si>
    <t>New Daerah Mengundi. It originated from Skiat (former Tasik Biru)</t>
  </si>
  <si>
    <t>New Daerah Mengundi. It originated from Sungai Tengah (Tupong)</t>
  </si>
  <si>
    <t>New Daerah Mengundi. It originated from Matang (Tupong)</t>
  </si>
  <si>
    <t>New Daerah Mengundi. It originated from Haji Baki (Batu Kitang)</t>
  </si>
  <si>
    <t>New Daerah Mengundi. It originated from Bukit Balau (Bukit Begunan)</t>
  </si>
  <si>
    <t>Parent DUN Constituency was renamed from Opar to Serayan</t>
  </si>
  <si>
    <t>Parent DUN Constituency was renamed from Tasik Biru to Singai</t>
  </si>
  <si>
    <t>Parent DUN Constituency was renamed from Ba'kelalan to Gunong Murud</t>
  </si>
  <si>
    <t>Parent DUN Constituency was renamed from Lambir to Pantai Tusan</t>
  </si>
  <si>
    <t>KEBULOH</t>
  </si>
  <si>
    <t>Parent DUN Constituency was renamed from Senadin to Riam</t>
  </si>
  <si>
    <t>SUNGAI PESU</t>
  </si>
  <si>
    <t>(UNKNOWN)</t>
  </si>
  <si>
    <t>Parent DUN Constituency renamed from Jepak to Jepak Jaya</t>
  </si>
  <si>
    <t>New Daerah Mengundi. It originated from Stapok (Batu Kawah)</t>
  </si>
  <si>
    <t>(N/A)</t>
  </si>
  <si>
    <t>Match DUN</t>
  </si>
  <si>
    <t>Match DUN PAR</t>
  </si>
  <si>
    <t>New Daerah Mengundi. It originated from Stampin (Kota Sentosa)</t>
  </si>
  <si>
    <t>New Daerah Mengundi. It originated from Satria Jaya (Kota Sentosa)</t>
  </si>
  <si>
    <t>New Daerah Mengundi. It originated from Batu Tujoh (Kota Sentosa)</t>
  </si>
  <si>
    <t>New Daerah Mengundi. It originated from Batu Empat and Batu Tujoh (Kota Sentosa)</t>
  </si>
  <si>
    <t>New Daerah Mengundi. It originated from Kitang (Batu Kitang)</t>
  </si>
  <si>
    <t>New Daerah Mengundi. It originated from Seberang (former Kuala Rajang)</t>
  </si>
  <si>
    <t>New Daerah Mengundi. It originated from Merudu (Repok)</t>
  </si>
  <si>
    <t>New Daerah Mengundi. It originated from Semah (Daro)</t>
  </si>
  <si>
    <t>New Daerah Mengundi. It originated from Lassa (Daro)</t>
  </si>
  <si>
    <t>New Daerah Mengundi. It originated from Selemas (formerly in Meradong)</t>
  </si>
  <si>
    <t>New Daerah Mengundi. It originated from Keladi (formerly in Bukit Assek)</t>
  </si>
  <si>
    <t>New Daerah Mengundi. It originated from Assan (formerly in Dudong)</t>
  </si>
  <si>
    <t>New Daerah Mengundi. It originated from Pak (formerly in Dudong)</t>
  </si>
  <si>
    <t>New Daerah Mengundi. It originated from Dudong (Dudong)</t>
  </si>
  <si>
    <t>New Daerah Mengundi. It originated from Penasu (former Bawang Assan)</t>
  </si>
  <si>
    <t>New Daerah Mengundi. It originated from Pelawan (Pelawan)</t>
  </si>
  <si>
    <t>New Daerah Mengundi. It originated from Gambir (formerly in Pelawan)</t>
  </si>
  <si>
    <t>New Daerah Mengundi. It originated from Nibong (Pelawan)</t>
  </si>
  <si>
    <t>New Daerah Mengundi. It originated from Ilir Nangka (Nangka)</t>
  </si>
  <si>
    <t>New Daerah Mengundi. It originated from Teku (Nangka)</t>
  </si>
  <si>
    <t>New Daerah Mengundi. It originated from Seduan (formerly in Nangka)</t>
  </si>
  <si>
    <t>New Daerah Mengundi. It originated from Tanggi (formerly in Nangka)</t>
  </si>
  <si>
    <t>New Daerah Mengundi. It originated from Sut (formerly in Pelagus)</t>
  </si>
  <si>
    <t>New Daerah MengundI. It originated from Sut (name might be incorrect) (formerly in Pelagus)</t>
  </si>
  <si>
    <t>New Daerah Mengundi. It originated from Merit (name might be incorrect) (formerly in Belaga)</t>
  </si>
  <si>
    <t>New Daerah Mengundi. It originated from Merit (formerly in Belaga)</t>
  </si>
  <si>
    <t>New Daerah Mengundi. It originated from Long Murum (Murum)</t>
  </si>
  <si>
    <t>New Daerah Mengundi. It originated from Tubau (formerly in Murum)</t>
  </si>
  <si>
    <t>New Daerah Mengundi. It originated from Niah (Bekenu)</t>
  </si>
  <si>
    <t>New Daerah Mengundi. It originated from Saeh (Bekenu)</t>
  </si>
  <si>
    <t>New Daerah Mengundi. It originated from Bungai (Bekenu)</t>
  </si>
  <si>
    <t>New Daerah Mengundi. It originated from Bakas (Bekenu)</t>
  </si>
  <si>
    <t>New Daerah Mengundi. Originated from Airport (formerly in Lambir)</t>
  </si>
  <si>
    <t>New Daerah Mengundi. It originated from Pujut (Pujut)</t>
  </si>
  <si>
    <t>New Daerah Mengundi. It originated from Krokop (Pujut)</t>
  </si>
  <si>
    <t>New Daerah Mengundi. It originated from Kuala Baram (formerly Senadin)</t>
  </si>
  <si>
    <t>New Daerah Mengundi. It originated from Lopeng (formerly Senadin)</t>
  </si>
  <si>
    <t>New Daerah Mengundi. It originated from Peninjau (Lambir)</t>
  </si>
  <si>
    <t>Row Labels</t>
  </si>
  <si>
    <t>Grand Total</t>
  </si>
  <si>
    <t>GPS VOTE</t>
  </si>
  <si>
    <t>PH VOTE</t>
  </si>
  <si>
    <t>PSB</t>
  </si>
  <si>
    <t>PSB VOTE</t>
  </si>
  <si>
    <t>PBK VOTE</t>
  </si>
  <si>
    <t>ASPIRASI VOTE</t>
  </si>
  <si>
    <t>PBDSB VOTE</t>
  </si>
  <si>
    <t>SEDAR VOTE</t>
  </si>
  <si>
    <t>PAS VOTE</t>
  </si>
  <si>
    <t>INDEPENDENT 1 VOTE</t>
  </si>
  <si>
    <t>INDEPENDENT 2 VOTE</t>
  </si>
  <si>
    <t>TOTAL REJECTED VOTES</t>
  </si>
  <si>
    <t>SUPP</t>
  </si>
  <si>
    <t>PDP</t>
  </si>
  <si>
    <t>PBB</t>
  </si>
  <si>
    <t>PRS</t>
  </si>
  <si>
    <t>INDEPENDENT (1) VOTE</t>
  </si>
  <si>
    <t>INDEPENDENT (2) VOTE</t>
  </si>
  <si>
    <t>WINNER (ORDINARY &amp; EARLY VOTE)</t>
  </si>
  <si>
    <t>GPS - SUPP</t>
  </si>
  <si>
    <t>GPS - PDP</t>
  </si>
  <si>
    <t>GPS - PBB</t>
  </si>
  <si>
    <t>PH - DAP</t>
  </si>
  <si>
    <t>GPS - PRS</t>
  </si>
  <si>
    <t>PN VOTE</t>
  </si>
  <si>
    <t>OTHER PARTY (1) VOTE</t>
  </si>
  <si>
    <t>OTHER PARTY (2) VOTE</t>
  </si>
  <si>
    <t>INDEPENDENT 3 VOTE</t>
  </si>
  <si>
    <t>PBM</t>
  </si>
  <si>
    <t>PN - PPBM</t>
  </si>
  <si>
    <t>PH - PKR</t>
  </si>
  <si>
    <t>INDEPENDENT (3) VOTE</t>
  </si>
  <si>
    <t>PRS/PBB</t>
  </si>
  <si>
    <t>PDP/PRS</t>
  </si>
  <si>
    <t>ETHNIC MAJORITY</t>
  </si>
  <si>
    <t>OVERALL SARAWAK STATISTICS</t>
  </si>
  <si>
    <t>OVERALL PROPOSAL</t>
  </si>
  <si>
    <t>PROPOSED PARLIAMENTARY SEATS</t>
  </si>
  <si>
    <t>PROPOSED DUN ALLOCATION</t>
  </si>
  <si>
    <t>PARLIAMENT (PAR) ETHNIC &amp; ELECTORATE CHANGE</t>
  </si>
  <si>
    <t>DUN ETHNIC &amp; ELECTORATE CHANGE</t>
  </si>
  <si>
    <t>MOVEMENT OF POLLING DISTRICTS</t>
  </si>
  <si>
    <t>IMPACT OF DUN OUTCOME</t>
  </si>
  <si>
    <t>IMPACT OF PARLIAMENT OUTCOME</t>
  </si>
  <si>
    <t>TABLE OF CONTENTS/ JADUAL</t>
  </si>
  <si>
    <t>SHEET/ LEMBARAN</t>
  </si>
  <si>
    <t>SHEET NAME/ NAMA LEMBARAN</t>
  </si>
  <si>
    <t>Source/ Sumber</t>
  </si>
  <si>
    <t>Cadangan Persempadanan Semula Bahagian Pilihan Raya Sarawak 2025</t>
  </si>
  <si>
    <t>ETHNIC GROUP/ KUMPULAN KAUM</t>
  </si>
  <si>
    <t>TOTAL/ JUMLAH</t>
  </si>
  <si>
    <t>SHARE (%)/ PECAHAN (%)</t>
  </si>
  <si>
    <t>DEMOGRAPHIC COMPOSITION (ELECTORAL ROLL OF DECEMBER 2024 GAZETTED ON 22/1/2025)/ KOMPOSISI DEMOGRAFI (DAFTAR PEMILIH DISEMBER 2024 YANG DIWARTAKAN PADA 22/1/2025)</t>
  </si>
  <si>
    <t>MALAY/MELANAU (MELAYU/MELANAU)</t>
  </si>
  <si>
    <t>CHINESE (CINA)</t>
  </si>
  <si>
    <t>OTHERS (LAIN - LAIN)</t>
  </si>
  <si>
    <t>AGE GROUP/ KUMPULAN UMUR</t>
  </si>
  <si>
    <t>90 AND ABOVE (90 DAN KE ATAS)</t>
  </si>
  <si>
    <t>GRAND TOTAL/ JUMLAH BESAR</t>
  </si>
  <si>
    <t>NEW DUN CONSTITUENCIES AND THEIR LOCATIONS/ DUN - DUN BARU DAN KEDUDUKAN MEREKA</t>
  </si>
  <si>
    <t>PARLIAMENTARY CONSTITUENCIES EXPERIENCING BOUNDARY CHANGES/ KAWASAN PILIHAN RAYA PARLIMEN MENGALAMI PERUBAHAN SEMPADAN</t>
  </si>
  <si>
    <t>PARLIAMENTARY CONSTITUENCIES WITH ADDITIONAL NEW DUN CONSTITUENCIES/ KAWASAN PILIHAN RAYA PARLIMEN YANG MEMPUNYAI DUN BARU</t>
  </si>
  <si>
    <t>PROPOSED NEW DUN CONSTITUENCY/ CADANGAN DUN BARU</t>
  </si>
  <si>
    <t>PARLIAMENT CONSTITUENCY/ KAWASAN PILIHAN RAYA PARLIMEN</t>
  </si>
  <si>
    <t>P.194 PETRA JAYA (NOT MENTIONED IN THE PROPOSAL DOCUMENT)</t>
  </si>
  <si>
    <t>P.206 TANJONG MANIS (NOT MENTIONED IN THE PROPOSAL DOCUMENT)</t>
  </si>
  <si>
    <t>P.213 MUKAH (NOT MENTIONED IN THE PROPOSAL DOCUMENT)</t>
  </si>
  <si>
    <t>P.211 LANANG (NOT MENTIONED IN THE PROPOSAL DOCUMENT)</t>
  </si>
  <si>
    <t>P.212 SIBU (NOT MENTIONED IN THE PROPOSAL DOCUMENT)</t>
  </si>
  <si>
    <t>P.215 KAPIT (NOT MENTIONED IN THE PROPOSAL DOCUMENT)</t>
  </si>
  <si>
    <t>P.218 SIBUTI (NOT MENTIONED IN THE PROPOSAL DOCUMENT)</t>
  </si>
  <si>
    <t>P.219 MIRI (NOT MENTIONED IN THE PROPOSAL DOCUMENT)</t>
  </si>
  <si>
    <t>P.220 BARAM (NOT MENTIONED IN THE PROPOSAL DOCUMENT)</t>
  </si>
  <si>
    <t>P.192 MAS GADING (NOT MENTIONED IN THE PROPOSAL DOCUMENT)*</t>
  </si>
  <si>
    <t>EXISTING NAME/ NAMA  SEDIA ADA</t>
  </si>
  <si>
    <t>PROPOSED NAME/ CADANGAN NAMA</t>
  </si>
  <si>
    <t>PARLIAMENTARY CONSTITUENCIES NOT HAVING ADDITIONAL DUN CONSTITUENCIES / KAWASAN PILIHAN RAYA PARLIMEN YANG TIDAK MEMPUNYAI DUN BARU</t>
  </si>
  <si>
    <t>EXISTING DUN CONSTITUENCIES TO BE RENAMED/  KAWASAN PILIHAN RAYA DUN YANG MENGALAMI PERUBAHAN NAMA</t>
  </si>
  <si>
    <t>MALAY/MELANAU (MELAYU/MELANAU)*</t>
  </si>
  <si>
    <t>*Includes Kedayan/ Termasuk Kedayan</t>
  </si>
  <si>
    <t>N/A</t>
  </si>
  <si>
    <t>NUMBER OF DUNS (EXISTING 82 DUNS)/ BILANGAN DUN (82 DUN SEDIA ADA)</t>
  </si>
  <si>
    <t>NUMBER OF DUNS (PROPOSED 99 DUNS)/ BILANGAN DUN (CADANGAN 99 DUN)**</t>
  </si>
  <si>
    <t>DISTRIBUTION OF ETHNIC GROUP BY COUNT AND DUN SEATS/ PENGAGIHAN KUMPULAN KAUM MENGIKUT BILANGAN DAN NOMBOR KERUSI DUN</t>
  </si>
  <si>
    <t>*Kawasan parlimen mengalami perubahan tetapi tidak disenaraikan dalam laporan cadangan</t>
  </si>
  <si>
    <t>SHARE OF SEATS (82 DUNS) (%) / PECAHAN KERUSI (82 DUN) (%)</t>
  </si>
  <si>
    <t>SHARE OF SEATS (99 PROPOSED DUNS) (%)/ PECAHAN KERUSI DUN (CADANGAN 99 DUN) (%)</t>
  </si>
  <si>
    <t>The proposal document has a number of errors and contradictions. While every effort has been made to ensure accuracy and completeness of the data, TindakMalaysia Network Services PLT is not responsible for errors and omissions. The file was developed for the advocacy purposes of Persatuan Bertindak Pilihan Raya Bebas dan Saksama ("Tindak") and Rise of Social Efforts ("ROSE")</t>
  </si>
  <si>
    <t>Dokumen cadangan mempunyai beberapa kesilapan dan percanggahan. Walaupun segala usaha telah dilakukan untuk memastikan ketepatan dan kelengkapan data, TindakMalaysia Network Services PLT tidak bertanggungjawab terhadap kesilapan dan ketinggalan. Fail itu dibangunkan untuk tujuan advokasi Persatuan Bertindak Pilihan Raya Bebas dan Saksama ("Tindak") dan Kebangkitan Usaha Sosial ("ROSE")</t>
  </si>
  <si>
    <t>*Proposal Document had contradictory figures for Malay/Melanau seats (37 vs 38) and Dayak seats (42 vs 43)/ Laporan cadangan mempunyai pertindihan bilangan kerusi Melayu/ Melanau (37 x 38) dan Dayak (42 x 43)</t>
  </si>
  <si>
    <t>PBB - BUMIPUTERA</t>
  </si>
  <si>
    <t>PBB - PESAKA</t>
  </si>
  <si>
    <t>PARTIES/ PARTI - PARTI</t>
  </si>
  <si>
    <t>SEAT DISTRIBUTION AMONG GABUNGAN PARTI SARAWAK (GPS) PARTIES/ PENGAGIHAN KERUSI PARTI - PARTI DI BAWAH GABUNGAN PARTI SARAWAK (GPS)</t>
  </si>
  <si>
    <t>CURRENT/ SEKARANG</t>
  </si>
  <si>
    <t>PROPOSAL/ CADANGAN*</t>
  </si>
  <si>
    <t>*There are contradictions of party component allocation information. Refer to other sheets for more information/ Terdapat pencanggahan maklumat mengenai pengagihan kerusi. Sila merujuk kepada lembaran-lembaran untuk maklumat lanjut</t>
  </si>
  <si>
    <t>Boundary has changed./ Sempadan berubah.</t>
  </si>
  <si>
    <t>Moved from Parliamentary Constituency of Puncak Borneo to Mas Gading. Berpindah dari Kawasan Parlimen Puncak Borneo kepada Mas Gading</t>
  </si>
  <si>
    <t>Formed from formerly named DUN Lambir./ Diwujudkan daripada bekas DUN Lambir</t>
  </si>
  <si>
    <t>YES/ YA</t>
  </si>
  <si>
    <t>Formed from formerly named DUNs Tasik Biru and Opar./ Diwujudkan daripada bekas DUN Tasik Biru dan DUN Opar.</t>
  </si>
  <si>
    <t>Formed from DUN Pantai Damai./ Diwujudkan daripada DUN Pantai Damai.</t>
  </si>
  <si>
    <t>Formed from DUN Pelawan and DUN Nangka./ Diwujudkan daripada DUN Pelawan dan DUN Nangka.</t>
  </si>
  <si>
    <t>Formed from DUN Tupong./ Diwujudkan daripada DUN Tupong.</t>
  </si>
  <si>
    <t>Formed from DUNs Batu Kitang, Batu Kawah and Kota Sentosa./ Diwujudkan daripada DUN Batu Kitang, DUN Batu Kawah dan DUN Kota Sentosa.</t>
  </si>
  <si>
    <t>Formed from DUN Mambong and formerly named DUN Tarat./ Diwujudkan daripada DUN Mambong dan bekas DUN Tarat.</t>
  </si>
  <si>
    <t>Formed from formerly named DUNs Semop and Kuala Rajang and a part of DUN Meradong./ Diwujudkan daripada bekas DUN Semop dan Kuala Rajang dan sebahagian daripada DUN Meradong.</t>
  </si>
  <si>
    <t>Formed from DUN Kakus and a part of Tamin./ Diwujudkan daripada DUN Kakus dan sebahagian daripada DUN Tamin.</t>
  </si>
  <si>
    <t>Formed from DUN Dudong and DUN Bukit Assek and a part of DUN Bawang Assan./ Diwujudkan daripada DUN Dudong dan DUN Bukit Assek dan sebahagian daripada DUN Bawang Assan.</t>
  </si>
  <si>
    <t>Formed from DUN Nangka and a part of DUN Bukit Assek./ Diwujudkan daripada DUN Nangka dan sebahagian daripada DUN Bukit Assek.</t>
  </si>
  <si>
    <t>Formed from DUN Balingian and parts of formerly named DUN Jemoreng and DUN Tellian./ Diwujudkan daripada DUN Balingian dan sebahagian daripada bekas DUN Jemoreng dan DUN Tellian.</t>
  </si>
  <si>
    <t>Formed from DUNs Bukit Goram and a part of DUN Pelagus./ Diwujudkan daripada DUN Bukit Goram dan sebahagian daripada DUN Pelagus.</t>
  </si>
  <si>
    <t>Formed from formerly named DUN Senadin and Piasau./ Diwujudkan daripada bekas DUN Senadin dan DUN Piasau.</t>
  </si>
  <si>
    <t>Formed from formerly named DUN Senadin./ Diwujudkan daripada bekas DUN Senadin.</t>
  </si>
  <si>
    <t>Formed from DUNs Marudi, Telang Usan and Mulu./ Diwujudkan daripada bekas DUN Marudi, Telang Usan dan Mulu.</t>
  </si>
  <si>
    <t>KOD PARLIMEN</t>
  </si>
  <si>
    <t>NAMA PARLIMEN</t>
  </si>
  <si>
    <t>JUMLAH PEMILIH</t>
  </si>
  <si>
    <t>SHARE FROM PARLIAMENTARY ELECTORAL QUOTA (EQ) (%)</t>
  </si>
  <si>
    <t>PERATUSAN DARIPADA PURATA (EQ) PARLIMEN (%)</t>
  </si>
  <si>
    <t>MELAYU/ MELANAU (%)</t>
  </si>
  <si>
    <t>CINA (%)</t>
  </si>
  <si>
    <t>LAIN - LAIN (%)</t>
  </si>
  <si>
    <t>CADANGAN KOD PARLIMEN</t>
  </si>
  <si>
    <t>CADANGAN NAMA PARLIMEN</t>
  </si>
  <si>
    <t>PERUBAHAN BILANGAN PEMILIH</t>
  </si>
  <si>
    <t>KOD UNIK</t>
  </si>
  <si>
    <t>NEGERI</t>
  </si>
  <si>
    <t>KAUM MAJORITI</t>
  </si>
  <si>
    <t>CHINESE/ CINA</t>
  </si>
  <si>
    <t>MIXED/ CAMPURAN</t>
  </si>
  <si>
    <t>MALAY/ MELANAU/ MELAYU/ MELANAU</t>
  </si>
  <si>
    <t>KOD DUN</t>
  </si>
  <si>
    <t>NAMA DUN</t>
  </si>
  <si>
    <t>SHARE FROM DUN ELECTORAL QUOTA (EQ) (%)</t>
  </si>
  <si>
    <t>PERATUSAN DARIPADA PURATA (EQ) DUN (%)</t>
  </si>
  <si>
    <t>CADANGAN KOD DUN</t>
  </si>
  <si>
    <t>CADANGAN NAMA DUN</t>
  </si>
  <si>
    <t>DUN BARU</t>
  </si>
  <si>
    <t>PERUBAHAN NAMA DUN</t>
  </si>
  <si>
    <t>TOTAL ELECTORS</t>
  </si>
  <si>
    <t>CHANGE OF ELECTORS</t>
  </si>
  <si>
    <t>KOD DAERAH MENGUNDI</t>
  </si>
  <si>
    <t>NAMA DAERAH MENGUNDI</t>
  </si>
  <si>
    <t>CADANGAN NAMA DAERAH MENGUNDI</t>
  </si>
  <si>
    <t>BERPINDAH ANTARA DUN</t>
  </si>
  <si>
    <t>BERPINDAH ANTARA PARLIMEN</t>
  </si>
  <si>
    <t>NOTA</t>
  </si>
  <si>
    <t>NO/ TIDAK</t>
  </si>
  <si>
    <t>NOTES (ONLY IN ENGLISH)</t>
  </si>
  <si>
    <t>NOTA (DALAM BAHASA INGGERIS SAHAJA)</t>
  </si>
  <si>
    <t>PEMENANG</t>
  </si>
  <si>
    <t>WINNER</t>
  </si>
  <si>
    <t>UNDI GPS</t>
  </si>
  <si>
    <t>UNDI PH</t>
  </si>
  <si>
    <t>UNDI PSB</t>
  </si>
  <si>
    <t>UNDI PBK</t>
  </si>
  <si>
    <t>UNDI ASPIRASI</t>
  </si>
  <si>
    <t>UNDI PBDSB</t>
  </si>
  <si>
    <t>UNDI SEDAR</t>
  </si>
  <si>
    <t>UNDI PAS</t>
  </si>
  <si>
    <t>UNDI BEBAS (1)</t>
  </si>
  <si>
    <t>UNDI BEBAS (2)</t>
  </si>
  <si>
    <t>KOD UNIK (2022)</t>
  </si>
  <si>
    <t>NEGERI (2022)</t>
  </si>
  <si>
    <t>KOD DUN (2022)</t>
  </si>
  <si>
    <t>NAMA DUN (2022)</t>
  </si>
  <si>
    <t>KOD PARLIMEN (2022)</t>
  </si>
  <si>
    <t>NAMA PARLIMEN (2022)</t>
  </si>
  <si>
    <t>CADANGAN KOD UNIK (2025)</t>
  </si>
  <si>
    <t>CADANGAN KOD DUN (2025)</t>
  </si>
  <si>
    <t>CADANGAN NAMA DUN (2025)</t>
  </si>
  <si>
    <t>CADANGAN KOD PARLIMEN (2025)</t>
  </si>
  <si>
    <t>CADANGAN NAMA PARLIMEN (2025)</t>
  </si>
  <si>
    <t>PERUBAHAN NAMA</t>
  </si>
  <si>
    <t>IMPACT OF THE PROPOSAL ON DUN OUTCOME/ KESAN OLEH CADANGAN TERHADAP KEPUTUSAN DUN</t>
  </si>
  <si>
    <t>LEAKED PROPOSAL ALLOCATED GPS PARTY</t>
  </si>
  <si>
    <t>PSB (FORMER) (BEKAS)</t>
  </si>
  <si>
    <t>PARLIAMENT ELECTION RESULTS (ORDINARY &amp; EARLY VOTE) OF 2022 USING CURRENT BOUNDARIES/ KEPUTUSAN PARLIMEN 2022 (UNDI BIASA DAN AWAL) MENGGUNAKAN SEMPADAN SEKARANG</t>
  </si>
  <si>
    <t>DUN ELECTION RESULTS (ORDINARY &amp; EARLY VOTE) OF 2021 USING CURRENT BOUNDARIES/ KEPUTUSAN DUN 2021 (UNDI BIASA DAN AWAL) MENGGUNAKAN SEMPADAN SEKARANG</t>
  </si>
  <si>
    <t>UNDI PN</t>
  </si>
  <si>
    <t>UNDI PARTI LAIN (1)</t>
  </si>
  <si>
    <t>UNDI PARTI LAIN (2)</t>
  </si>
  <si>
    <t>UNDI BEBAS (3)</t>
  </si>
  <si>
    <t>Refer to Sheet/ Rujuk kepada Lembaran</t>
  </si>
  <si>
    <t>Though no boundary changed, reported elector count change. / Walaupun sempadan tidak berubah, laporan menyatakan perubahan bilangan pemilih.</t>
  </si>
  <si>
    <t>Boundary has changed. DUN Serembu moved to Mas Gading. / Sempadan berubah. DUN Serembu berpindah ke Mas Gading.</t>
  </si>
  <si>
    <t>Boundary has changed. Received DUN Serembu from Puncak Borneo/ Sempadan berubah. Menerima DUN Serembu dari Puncak Borneo.</t>
  </si>
  <si>
    <t>Boundary has changed. / Sempadan berubah.</t>
  </si>
  <si>
    <t>AGIHAN PARTI GPS (LAPORAN DIBOCORKAN)</t>
  </si>
  <si>
    <t>IMPACT OF THE LEAKED PROPOSAL ON PARLIAMENT OUTCOME/ KESAN OLEH CADANGAN DIBOCORKAN TERHADAP KEPUTUSAN PARLIMEN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</si>
</sst>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theme="1"/>
      <name val="Aptos Narrow"/>
      <family val="2"/>
    </font>
    <font>
      <sz val="8"/>
      <name val="Aptos Narrow"/>
      <family val="2"/>
      <scheme val="minor"/>
    </font>
    <font>
      <i/>
      <sz val="11"/>
      <color theme="1"/>
      <name val="Aptos Narrow"/>
      <family val="2"/>
      <scheme val="minor"/>
    </font>
    <font>
      <sz val="11"/>
      <color rgb="FFFF0000"/>
      <name val="Aptos Narrow"/>
      <family val="2"/>
    </font>
    <font>
      <sz val="11"/>
      <name val="Aptos Narrow"/>
      <family val="2"/>
    </font>
    <font>
      <sz val="11"/>
      <color rgb="FF00B050"/>
      <name val="Aptos Narrow"/>
      <family val="2"/>
    </font>
    <font>
      <u/>
      <sz val="11"/>
      <color theme="10"/>
      <name val="Aptos Narrow"/>
      <family val="2"/>
      <scheme val="minor"/>
    </font>
    <font>
      <u/>
      <sz val="11"/>
      <color rgb="FF0070C0"/>
      <name val="Aptos Narrow"/>
      <family val="2"/>
      <scheme val="minor"/>
    </font>
    <font>
      <i/>
      <u/>
      <sz val="11"/>
      <color theme="1"/>
      <name val="Aptos Narrow"/>
      <family val="2"/>
      <scheme val="minor"/>
    </font>
    <font>
      <i/>
      <sz val="11"/>
      <color theme="1"/>
      <name val="Aptos Narrow"/>
      <family val="2"/>
    </font>
  </fonts>
  <fills count="4">
    <fill>
      <patternFill patternType="none"/>
    </fill>
    <fill>
      <patternFill patternType="gray125"/>
    </fill>
    <fill>
      <patternFill patternType="solid">
        <fgColor theme="5" tint="0.59999389629810485"/>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indexed="64"/>
      </left>
      <right/>
      <top/>
      <bottom/>
      <diagonal/>
    </border>
  </borders>
  <cellStyleXfs count="2">
    <xf numFmtId="0" fontId="0" fillId="0" borderId="0"/>
    <xf numFmtId="0" fontId="8" fillId="0" borderId="0" applyNumberFormat="0" applyFill="0" applyBorder="0" applyAlignment="0" applyProtection="0"/>
  </cellStyleXfs>
  <cellXfs count="54">
    <xf numFmtId="0" fontId="0" fillId="0" borderId="0" xfId="0"/>
    <xf numFmtId="0" fontId="1"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2" xfId="0" applyBorder="1"/>
    <xf numFmtId="0" fontId="0" fillId="0" borderId="3" xfId="0" applyBorder="1"/>
    <xf numFmtId="0" fontId="2" fillId="0" borderId="0" xfId="0" applyFont="1"/>
    <xf numFmtId="0" fontId="2" fillId="0" borderId="0" xfId="0" applyFont="1" applyAlignment="1">
      <alignment horizontal="right"/>
    </xf>
    <xf numFmtId="2" fontId="2" fillId="0" borderId="0" xfId="0" applyNumberFormat="1" applyFont="1"/>
    <xf numFmtId="0" fontId="0" fillId="0" borderId="7" xfId="0" applyBorder="1" applyAlignment="1">
      <alignment vertical="center"/>
    </xf>
    <xf numFmtId="0" fontId="0" fillId="0" borderId="8" xfId="0" applyBorder="1" applyAlignment="1">
      <alignment vertical="center"/>
    </xf>
    <xf numFmtId="0" fontId="0" fillId="0" borderId="0" xfId="0" applyAlignment="1">
      <alignment vertical="center"/>
    </xf>
    <xf numFmtId="0" fontId="0" fillId="0" borderId="9" xfId="0" applyBorder="1" applyAlignment="1">
      <alignment vertical="center"/>
    </xf>
    <xf numFmtId="0" fontId="0" fillId="0" borderId="0" xfId="0" applyAlignment="1">
      <alignment horizontal="left" indent="1"/>
    </xf>
    <xf numFmtId="0" fontId="0" fillId="0" borderId="0" xfId="0" pivotButton="1"/>
    <xf numFmtId="0" fontId="0" fillId="0" borderId="0" xfId="0" applyAlignment="1">
      <alignment horizontal="left"/>
    </xf>
    <xf numFmtId="0" fontId="2" fillId="0" borderId="2" xfId="0" applyFont="1" applyBorder="1"/>
    <xf numFmtId="0" fontId="2" fillId="0" borderId="10" xfId="0" applyFont="1" applyBorder="1"/>
    <xf numFmtId="0" fontId="0" fillId="0" borderId="10" xfId="0" applyBorder="1"/>
    <xf numFmtId="1" fontId="2" fillId="0" borderId="0" xfId="0" applyNumberFormat="1" applyFont="1"/>
    <xf numFmtId="0" fontId="5" fillId="0" borderId="0" xfId="0" applyFont="1"/>
    <xf numFmtId="0" fontId="6" fillId="0" borderId="0" xfId="0" applyFont="1"/>
    <xf numFmtId="0" fontId="7" fillId="0" borderId="0" xfId="0" applyFont="1"/>
    <xf numFmtId="2" fontId="0" fillId="0" borderId="1" xfId="0" applyNumberFormat="1" applyBorder="1"/>
    <xf numFmtId="0" fontId="9" fillId="0" borderId="0" xfId="1" applyFont="1"/>
    <xf numFmtId="0" fontId="0" fillId="0" borderId="0" xfId="0" applyAlignment="1">
      <alignment wrapText="1"/>
    </xf>
    <xf numFmtId="0" fontId="1" fillId="0" borderId="0" xfId="0" applyFont="1" applyAlignment="1">
      <alignment wrapText="1"/>
    </xf>
    <xf numFmtId="0" fontId="10" fillId="0" borderId="0" xfId="0" applyFont="1"/>
    <xf numFmtId="0" fontId="0" fillId="0" borderId="6" xfId="0" applyBorder="1" applyAlignment="1">
      <alignment wrapText="1"/>
    </xf>
    <xf numFmtId="0" fontId="0" fillId="0" borderId="1" xfId="0" applyBorder="1" applyAlignment="1">
      <alignment wrapText="1"/>
    </xf>
    <xf numFmtId="0" fontId="0" fillId="0" borderId="1" xfId="0" applyBorder="1" applyAlignment="1">
      <alignment horizontal="right"/>
    </xf>
    <xf numFmtId="1" fontId="0" fillId="0" borderId="0" xfId="0" applyNumberFormat="1"/>
    <xf numFmtId="0" fontId="2" fillId="0" borderId="0" xfId="0" applyFont="1" applyAlignment="1">
      <alignment wrapText="1"/>
    </xf>
    <xf numFmtId="2" fontId="2" fillId="0" borderId="0" xfId="0" applyNumberFormat="1" applyFont="1" applyAlignment="1">
      <alignment wrapText="1"/>
    </xf>
    <xf numFmtId="0" fontId="2" fillId="0" borderId="0" xfId="0" applyFont="1" applyAlignment="1">
      <alignment horizontal="right" wrapText="1"/>
    </xf>
    <xf numFmtId="0" fontId="0" fillId="0" borderId="12" xfId="0" applyBorder="1" applyAlignment="1">
      <alignment vertical="center"/>
    </xf>
    <xf numFmtId="0" fontId="2" fillId="0" borderId="3" xfId="0" applyFont="1" applyBorder="1"/>
    <xf numFmtId="0" fontId="4" fillId="0" borderId="11" xfId="0" applyFont="1" applyBorder="1" applyAlignment="1">
      <alignment wrapText="1"/>
    </xf>
    <xf numFmtId="0" fontId="4" fillId="0" borderId="11" xfId="0" applyFont="1" applyBorder="1"/>
    <xf numFmtId="0" fontId="11" fillId="0" borderId="0" xfId="0" applyFont="1"/>
    <xf numFmtId="0" fontId="11" fillId="0" borderId="11" xfId="0" applyFont="1" applyBorder="1"/>
    <xf numFmtId="0" fontId="4" fillId="0" borderId="13" xfId="0" applyFont="1" applyBorder="1" applyAlignment="1">
      <alignment vertical="center"/>
    </xf>
    <xf numFmtId="0" fontId="4" fillId="0" borderId="11" xfId="0" applyFont="1" applyBorder="1" applyAlignment="1">
      <alignment vertical="center"/>
    </xf>
    <xf numFmtId="0" fontId="11" fillId="0" borderId="3" xfId="0" applyFont="1" applyBorder="1"/>
    <xf numFmtId="1" fontId="11" fillId="0" borderId="11" xfId="0" applyNumberFormat="1" applyFont="1" applyBorder="1"/>
    <xf numFmtId="0" fontId="4" fillId="0" borderId="11" xfId="0" applyFont="1" applyBorder="1" applyAlignment="1">
      <alignment horizontal="left"/>
    </xf>
    <xf numFmtId="0" fontId="4" fillId="0" borderId="3" xfId="0" applyFont="1" applyBorder="1"/>
    <xf numFmtId="0" fontId="0" fillId="0" borderId="14" xfId="0" applyBorder="1"/>
    <xf numFmtId="0" fontId="8" fillId="0" borderId="0" xfId="1" applyBorder="1"/>
    <xf numFmtId="0" fontId="0" fillId="2" borderId="0" xfId="0" applyFill="1" applyAlignment="1">
      <alignment horizontal="center"/>
    </xf>
    <xf numFmtId="0" fontId="0" fillId="3" borderId="0" xfId="0" applyFill="1" applyAlignment="1">
      <alignment horizontal="center"/>
    </xf>
    <xf numFmtId="0" fontId="8" fillId="0" borderId="0" xfId="1"/>
  </cellXfs>
  <cellStyles count="2">
    <cellStyle name="Hyperlink" xfId="1" builtinId="8"/>
    <cellStyle name="Normal" xfId="0" builtinId="0"/>
  </cellStyles>
  <dxfs count="5">
    <dxf>
      <font>
        <color rgb="FF9C0006"/>
      </font>
      <fill>
        <patternFill>
          <bgColor rgb="FFFFC7CE"/>
        </patternFill>
      </fill>
    </dxf>
    <dxf>
      <font>
        <i/>
      </font>
    </dxf>
    <dxf>
      <font>
        <i/>
      </font>
    </dxf>
    <dxf>
      <border>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MPACT%20ON%20DUN%20OUTCOME%20-%20WORK%20SH"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ACT ON DUN OUTCOME - WORK SH"/>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Danesh Prakash Chacko" id="{1D4AFF44-F757-405E-B366-BBFC16E33051}" userId="58a0e155d75efa03"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esh Prakash Chacko" refreshedDate="46104.849023379633" backgroundQuery="1" createdVersion="8" refreshedVersion="8" minRefreshableVersion="3" recordCount="0" supportSubquery="1" supportAdvancedDrill="1" xr:uid="{FD3059E4-9A11-413F-B796-59E5BFDCF870}">
  <cacheSource type="external" connectionId="1"/>
  <cacheFields count="13">
    <cacheField name="[Range 1].[PROPOSED PARLIAMENTARY CONSTITUENCY CODE (2025)].[PROPOSED PARLIAMENTARY CONSTITUENCY CODE (2025)]" caption="PROPOSED PARLIAMENTARY CONSTITUENCY CODE (2025)" numFmtId="0" hierarchy="23" level="1">
      <sharedItems count="31">
        <s v="P.192"/>
        <s v="P.193"/>
        <s v="P.194"/>
        <s v="P.195"/>
        <s v="P.196"/>
        <s v="P.197"/>
        <s v="P.198"/>
        <s v="P.199"/>
        <s v="P.200"/>
        <s v="P.201"/>
        <s v="P.202"/>
        <s v="P.203"/>
        <s v="P.204"/>
        <s v="P.205"/>
        <s v="P.206"/>
        <s v="P.207"/>
        <s v="P.208"/>
        <s v="P.209"/>
        <s v="P.210"/>
        <s v="P.211"/>
        <s v="P.212"/>
        <s v="P.213"/>
        <s v="P.214"/>
        <s v="P.215"/>
        <s v="P.216"/>
        <s v="P.217"/>
        <s v="P.218"/>
        <s v="P.219"/>
        <s v="P.220"/>
        <s v="P.221"/>
        <s v="P.222"/>
      </sharedItems>
    </cacheField>
    <cacheField name="[Range 1].[PROPOSED STATE CONSTITUENCY NAME (2025)].[PROPOSED STATE CONSTITUENCY NAME (2025)]" caption="PROPOSED STATE CONSTITUENCY NAME (2025)" numFmtId="0" hierarchy="22" level="1">
      <sharedItems count="98">
        <s v="JAGOI"/>
        <s v="SERAYAN"/>
        <s v="SEREMBU"/>
        <s v="SINGAI"/>
        <s v="DEMAK LAUT"/>
        <s v="PANTAI DAMAI"/>
        <s v="SEJINJANG"/>
        <s v="TANJONG DATU"/>
        <s v="SAMARIANG"/>
        <s v="SATOK"/>
        <s v="SEMARAK"/>
        <s v="SERAPI"/>
        <s v="TUPONG"/>
        <s v="BATU LINTANG"/>
        <s v="PADUNGAN"/>
        <s v="PENDING"/>
        <s v="BATU KAWAH"/>
        <s v="BATU KITANG"/>
        <s v="KOTA SENTOSA"/>
        <s v="SELEDAH"/>
        <s v="ASAJAYA"/>
        <s v="MUARA TUANG"/>
        <s v="STAKAN"/>
        <s v="BUNG SADUNG"/>
        <s v="MAMBONG"/>
        <s v="SUNGAI SERIN"/>
        <s v="BUKIT SEMUJA"/>
        <s v="KEDUP"/>
        <s v="TEBEDU"/>
        <s v="GEDONG"/>
        <s v="SADONG JAYA"/>
        <s v="SIMUNJAN"/>
        <s v="BETING MARO"/>
        <s v="LINGGA"/>
        <s v="SEBUYAU"/>
        <s v="BALAI RINGIN"/>
        <s v="BUKIT BEGUNAN"/>
        <s v="SIMANGGANG"/>
        <s v="BATANG AI"/>
        <s v="ENGKILILI"/>
        <s v="BUKIT SABAN"/>
        <s v="LAYAR"/>
        <s v="SARIBAS"/>
        <s v="KABONG"/>
        <s v="KALAKA"/>
        <s v="KRIAN"/>
        <s v="KUALA RAJANG"/>
        <s v="MUARA LASSA"/>
        <s v="SUSUR JAMBU"/>
        <s v="DARO"/>
        <s v="MATU"/>
        <s v="MERADONG"/>
        <s v="REPOK"/>
        <s v="MELUAN"/>
        <s v="PAKAN"/>
        <s v="MACHAN"/>
        <s v="NGEMAH"/>
        <s v="BUKIT ASSEK"/>
        <s v="DUDONG"/>
        <s v="TANAHMAS"/>
        <s v="BUKIT KEMUYANG"/>
        <s v="NANGKA"/>
        <s v="PELAWAN"/>
        <s v="RASSAU"/>
        <s v="SUNGAI MERAH"/>
        <s v="BALINGIAN"/>
        <s v="DALAT"/>
        <s v="OYA"/>
        <s v="TELLIAN"/>
        <s v="BUKIT ARIP"/>
        <s v="KAKUS"/>
        <s v="TAMIN"/>
        <s v="BUKIT GORAM"/>
        <s v="KATIBAS"/>
        <s v="MELEKUN"/>
        <s v="PELAGUS"/>
        <s v="BALEH"/>
        <s v="BELAGA"/>
        <s v="MURUM"/>
        <s v="JEPAK JAYA"/>
        <s v="KEMENA"/>
        <s v="SAMALAJU"/>
        <s v="TANJONG BATU"/>
        <s v="BEKENU"/>
        <s v="PANTAI TUSAN"/>
        <s v="TUKAU"/>
        <s v="PERMAISURI"/>
        <s v="PIASAU"/>
        <s v="PUJUT"/>
        <s v="RIAM"/>
        <s v="MARUDI"/>
        <s v="MULU"/>
        <s v="TELANG USAN"/>
        <s v="USUN APAU"/>
        <s v="BATU DANAU"/>
        <s v="BUKIT KOTA"/>
        <s v="BUKIT SARI"/>
        <s v="GUNONG MURUD"/>
      </sharedItems>
    </cacheField>
    <cacheField name="[Measures].[Sum of Sum of GPS VOTE]" caption="Sum of Sum of GPS VOTE" numFmtId="0" hierarchy="30" level="32767"/>
    <cacheField name="[Measures].[Sum of Sum of PH VOTE]" caption="Sum of Sum of PH VOTE" numFmtId="0" hierarchy="31" level="32767"/>
    <cacheField name="[Measures].[Sum of Sum of PSB VOTE]" caption="Sum of Sum of PSB VOTE" numFmtId="0" hierarchy="32" level="32767"/>
    <cacheField name="[Measures].[Sum of Sum of PBK VOTE]" caption="Sum of Sum of PBK VOTE" numFmtId="0" hierarchy="33" level="32767"/>
    <cacheField name="[Measures].[Sum of Sum of ASPIRASI VOTE]" caption="Sum of Sum of ASPIRASI VOTE" numFmtId="0" hierarchy="34" level="32767"/>
    <cacheField name="[Measures].[Sum of Sum of PBDSB VOTE]" caption="Sum of Sum of PBDSB VOTE" numFmtId="0" hierarchy="35" level="32767"/>
    <cacheField name="[Measures].[Sum of Sum of SEDAR VOTE]" caption="Sum of Sum of SEDAR VOTE" numFmtId="0" hierarchy="36" level="32767"/>
    <cacheField name="[Measures].[Sum of Sum of PAS VOTE]" caption="Sum of Sum of PAS VOTE" numFmtId="0" hierarchy="37" level="32767"/>
    <cacheField name="[Measures].[Sum of Sum of INDEPENDENT 1 VOTE]" caption="Sum of Sum of INDEPENDENT 1 VOTE" numFmtId="0" hierarchy="38" level="32767"/>
    <cacheField name="[Measures].[Sum of Sum of INDEPENDENT 2 VOTE]" caption="Sum of Sum of INDEPENDENT 2 VOTE" numFmtId="0" hierarchy="39" level="32767"/>
    <cacheField name="[Measures].[Sum of Sum of TOTAL REJECTED VOTES]" caption="Sum of Sum of TOTAL REJECTED VOTES" numFmtId="0" hierarchy="40" level="32767"/>
  </cacheFields>
  <cacheHierarchies count="42">
    <cacheHierarchy uniqueName="[Range 1].[STATE]" caption="STATE" attribute="1" defaultMemberUniqueName="[Range 1].[STATE].[All]" allUniqueName="[Range 1].[STATE].[All]" dimensionUniqueName="[Range 1]" displayFolder="" count="0" memberValueDatatype="130" unbalanced="0"/>
    <cacheHierarchy uniqueName="[Range 1].[POLLING DISTRICT CODE (2022)]" caption="POLLING DISTRICT CODE (2022)" attribute="1" defaultMemberUniqueName="[Range 1].[POLLING DISTRICT CODE (2022)].[All]" allUniqueName="[Range 1].[POLLING DISTRICT CODE (2022)].[All]" dimensionUniqueName="[Range 1]" displayFolder="" count="0" memberValueDatatype="130" unbalanced="0"/>
    <cacheHierarchy uniqueName="[Range 1].[POLLING DISTRICT NAME (2022)]" caption="POLLING DISTRICT NAME (2022)" attribute="1" defaultMemberUniqueName="[Range 1].[POLLING DISTRICT NAME (2022)].[All]" allUniqueName="[Range 1].[POLLING DISTRICT NAME (2022)].[All]" dimensionUniqueName="[Range 1]" displayFolder="" count="0" memberValueDatatype="130" unbalanced="0"/>
    <cacheHierarchy uniqueName="[Range 1].[PARLIAMENTARY CONSTITUENCY CODE (2022)]" caption="PARLIAMENTARY CONSTITUENCY CODE (2022)" attribute="1" defaultMemberUniqueName="[Range 1].[PARLIAMENTARY CONSTITUENCY CODE (2022)].[All]" allUniqueName="[Range 1].[PARLIAMENTARY CONSTITUENCY CODE (2022)].[All]" dimensionUniqueName="[Range 1]" displayFolder="" count="0" memberValueDatatype="130" unbalanced="0"/>
    <cacheHierarchy uniqueName="[Range 1].[PARLIAMENTARY CONSTITUENCY NAME (2022)]" caption="PARLIAMENTARY CONSTITUENCY NAME (2022)" attribute="1" defaultMemberUniqueName="[Range 1].[PARLIAMENTARY CONSTITUENCY NAME (2022)].[All]" allUniqueName="[Range 1].[PARLIAMENTARY CONSTITUENCY NAME (2022)].[All]" dimensionUniqueName="[Range 1]" displayFolder="" count="0" memberValueDatatype="130" unbalanced="0"/>
    <cacheHierarchy uniqueName="[Range 1].[STATE CONSTITUENCY CODE (2022)]" caption="STATE CONSTITUENCY CODE (2022)" attribute="1" defaultMemberUniqueName="[Range 1].[STATE CONSTITUENCY CODE (2022)].[All]" allUniqueName="[Range 1].[STATE CONSTITUENCY CODE (2022)].[All]" dimensionUniqueName="[Range 1]" displayFolder="" count="0" memberValueDatatype="130" unbalanced="0"/>
    <cacheHierarchy uniqueName="[Range 1].[STATE CONSTITUENCY NAME (2022)]" caption="STATE CONSTITUENCY NAME (2022)" attribute="1" defaultMemberUniqueName="[Range 1].[STATE CONSTITUENCY NAME (2022)].[All]" allUniqueName="[Range 1].[STATE CONSTITUENCY NAME (2022)].[All]" dimensionUniqueName="[Range 1]" displayFolder="" count="0" memberValueDatatype="130" unbalanced="0"/>
    <cacheHierarchy uniqueName="[Range 1].[Sum of GPS VOTE]" caption="Sum of GPS VOTE" attribute="1" defaultMemberUniqueName="[Range 1].[Sum of GPS VOTE].[All]" allUniqueName="[Range 1].[Sum of GPS VOTE].[All]" dimensionUniqueName="[Range 1]" displayFolder="" count="0" memberValueDatatype="20" unbalanced="0"/>
    <cacheHierarchy uniqueName="[Range 1].[Sum of PH VOTE]" caption="Sum of PH VOTE" attribute="1" defaultMemberUniqueName="[Range 1].[Sum of PH VOTE].[All]" allUniqueName="[Range 1].[Sum of PH VOTE].[All]" dimensionUniqueName="[Range 1]" displayFolder="" count="0" memberValueDatatype="20" unbalanced="0"/>
    <cacheHierarchy uniqueName="[Range 1].[Sum of PSB VOTE]" caption="Sum of PSB VOTE" attribute="1" defaultMemberUniqueName="[Range 1].[Sum of PSB VOTE].[All]" allUniqueName="[Range 1].[Sum of PSB VOTE].[All]" dimensionUniqueName="[Range 1]" displayFolder="" count="0" memberValueDatatype="20" unbalanced="0"/>
    <cacheHierarchy uniqueName="[Range 1].[Sum of PBK VOTE]" caption="Sum of PBK VOTE" attribute="1" defaultMemberUniqueName="[Range 1].[Sum of PBK VOTE].[All]" allUniqueName="[Range 1].[Sum of PBK VOTE].[All]" dimensionUniqueName="[Range 1]" displayFolder="" count="0" memberValueDatatype="20" unbalanced="0"/>
    <cacheHierarchy uniqueName="[Range 1].[Sum of ASPIRASI VOTE]" caption="Sum of ASPIRASI VOTE" attribute="1" defaultMemberUniqueName="[Range 1].[Sum of ASPIRASI VOTE].[All]" allUniqueName="[Range 1].[Sum of ASPIRASI VOTE].[All]" dimensionUniqueName="[Range 1]" displayFolder="" count="0" memberValueDatatype="20" unbalanced="0"/>
    <cacheHierarchy uniqueName="[Range 1].[Sum of PBDSB VOTE]" caption="Sum of PBDSB VOTE" attribute="1" defaultMemberUniqueName="[Range 1].[Sum of PBDSB VOTE].[All]" allUniqueName="[Range 1].[Sum of PBDSB VOTE].[All]" dimensionUniqueName="[Range 1]" displayFolder="" count="0" memberValueDatatype="20" unbalanced="0"/>
    <cacheHierarchy uniqueName="[Range 1].[Sum of SEDAR VOTE]" caption="Sum of SEDAR VOTE" attribute="1" defaultMemberUniqueName="[Range 1].[Sum of SEDAR VOTE].[All]" allUniqueName="[Range 1].[Sum of SEDAR VOTE].[All]" dimensionUniqueName="[Range 1]" displayFolder="" count="0" memberValueDatatype="20" unbalanced="0"/>
    <cacheHierarchy uniqueName="[Range 1].[Sum of PAS VOTE]" caption="Sum of PAS VOTE" attribute="1" defaultMemberUniqueName="[Range 1].[Sum of PAS VOTE].[All]" allUniqueName="[Range 1].[Sum of PAS VOTE].[All]" dimensionUniqueName="[Range 1]" displayFolder="" count="0" memberValueDatatype="20" unbalanced="0"/>
    <cacheHierarchy uniqueName="[Range 1].[Sum of INDEPENDENT 1 VOTE]" caption="Sum of INDEPENDENT 1 VOTE" attribute="1" defaultMemberUniqueName="[Range 1].[Sum of INDEPENDENT 1 VOTE].[All]" allUniqueName="[Range 1].[Sum of INDEPENDENT 1 VOTE].[All]" dimensionUniqueName="[Range 1]" displayFolder="" count="0" memberValueDatatype="20" unbalanced="0"/>
    <cacheHierarchy uniqueName="[Range 1].[Sum of INDEPENDENT 2 VOTE]" caption="Sum of INDEPENDENT 2 VOTE" attribute="1" defaultMemberUniqueName="[Range 1].[Sum of INDEPENDENT 2 VOTE].[All]" allUniqueName="[Range 1].[Sum of INDEPENDENT 2 VOTE].[All]" dimensionUniqueName="[Range 1]" displayFolder="" count="0" memberValueDatatype="20" unbalanced="0"/>
    <cacheHierarchy uniqueName="[Range 1].[Sum of TOTAL REJECTED VOTES]" caption="Sum of TOTAL REJECTED VOTES" attribute="1" defaultMemberUniqueName="[Range 1].[Sum of TOTAL REJECTED VOTES].[All]" allUniqueName="[Range 1].[Sum of TOTAL REJECTED VOTES].[All]" dimensionUniqueName="[Range 1]" displayFolder="" count="0" memberValueDatatype="20" unbalanced="0"/>
    <cacheHierarchy uniqueName="[Range 1].[Sum of TOTAL UNRETURNED BALLOTS]" caption="Sum of TOTAL UNRETURNED BALLOTS" attribute="1" defaultMemberUniqueName="[Range 1].[Sum of TOTAL UNRETURNED BALLOTS].[All]" allUniqueName="[Range 1].[Sum of TOTAL UNRETURNED BALLOTS].[All]" dimensionUniqueName="[Range 1]" displayFolder="" count="0" memberValueDatatype="20" unbalanced="0"/>
    <cacheHierarchy uniqueName="[Range 1].[PROPOSED POLLING DISTRICT CODE (2025)]" caption="PROPOSED POLLING DISTRICT CODE (2025)" attribute="1" defaultMemberUniqueName="[Range 1].[PROPOSED POLLING DISTRICT CODE (2025)].[All]" allUniqueName="[Range 1].[PROPOSED POLLING DISTRICT CODE (2025)].[All]" dimensionUniqueName="[Range 1]" displayFolder="" count="0" memberValueDatatype="130" unbalanced="0"/>
    <cacheHierarchy uniqueName="[Range 1].[PROPOSED POLLING DISTRICT NAME (2025)]" caption="PROPOSED POLLING DISTRICT NAME (2025)" attribute="1" defaultMemberUniqueName="[Range 1].[PROPOSED POLLING DISTRICT NAME (2025)].[All]" allUniqueName="[Range 1].[PROPOSED POLLING DISTRICT NAME (2025)].[All]" dimensionUniqueName="[Range 1]" displayFolder="" count="0" memberValueDatatype="130" unbalanced="0"/>
    <cacheHierarchy uniqueName="[Range 1].[PROPOSED STATE CONSTITUENCY CODE (2025)]" caption="PROPOSED STATE CONSTITUENCY CODE (2025)" attribute="1" defaultMemberUniqueName="[Range 1].[PROPOSED STATE CONSTITUENCY CODE (2025)].[All]" allUniqueName="[Range 1].[PROPOSED STATE CONSTITUENCY CODE (2025)].[All]" dimensionUniqueName="[Range 1]" displayFolder="" count="0" memberValueDatatype="130" unbalanced="0"/>
    <cacheHierarchy uniqueName="[Range 1].[PROPOSED STATE CONSTITUENCY NAME (2025)]" caption="PROPOSED STATE CONSTITUENCY NAME (2025)" attribute="1" defaultMemberUniqueName="[Range 1].[PROPOSED STATE CONSTITUENCY NAME (2025)].[All]" allUniqueName="[Range 1].[PROPOSED STATE CONSTITUENCY NAME (2025)].[All]" dimensionUniqueName="[Range 1]" displayFolder="" count="2" memberValueDatatype="130" unbalanced="0">
      <fieldsUsage count="2">
        <fieldUsage x="-1"/>
        <fieldUsage x="1"/>
      </fieldsUsage>
    </cacheHierarchy>
    <cacheHierarchy uniqueName="[Range 1].[PROPOSED PARLIAMENTARY CONSTITUENCY CODE (2025)]" caption="PROPOSED PARLIAMENTARY CONSTITUENCY CODE (2025)" attribute="1" defaultMemberUniqueName="[Range 1].[PROPOSED PARLIAMENTARY CONSTITUENCY CODE (2025)].[All]" allUniqueName="[Range 1].[PROPOSED PARLIAMENTARY CONSTITUENCY CODE (2025)].[All]" dimensionUniqueName="[Range 1]" displayFolder="" count="2" memberValueDatatype="130" unbalanced="0">
      <fieldsUsage count="2">
        <fieldUsage x="-1"/>
        <fieldUsage x="0"/>
      </fieldsUsage>
    </cacheHierarchy>
    <cacheHierarchy uniqueName="[Range 1].[PROPOSED PARLIAMENTARY CONSTITUENCY NAME (2025)]" caption="PROPOSED PARLIAMENTARY CONSTITUENCY NAME (2025)" attribute="1" defaultMemberUniqueName="[Range 1].[PROPOSED PARLIAMENTARY CONSTITUENCY NAME (2025)].[All]" allUniqueName="[Range 1].[PROPOSED PARLIAMENTARY CONSTITUENCY NAME (2025)].[All]" dimensionUniqueName="[Range 1]" displayFolder="" count="0" memberValueDatatype="130" unbalanced="0"/>
    <cacheHierarchy uniqueName="[Range 1].[Shifted between DUN]" caption="Shifted between DUN" attribute="1" defaultMemberUniqueName="[Range 1].[Shifted between DUN].[All]" allUniqueName="[Range 1].[Shifted between DUN].[All]" dimensionUniqueName="[Range 1]" displayFolder="" count="0" memberValueDatatype="130" unbalanced="0"/>
    <cacheHierarchy uniqueName="[Range 1].[Shifted between Parliament]" caption="Shifted between Parliament" attribute="1" defaultMemberUniqueName="[Range 1].[Shifted between Parliament].[All]" allUniqueName="[Range 1].[Shifted between Parliament].[All]" dimensionUniqueName="[Range 1]" displayFolder="" count="0" memberValueDatatype="130" unbalanced="0"/>
    <cacheHierarchy uniqueName="[Range 1].[NOTES]" caption="NOTES" attribute="1" defaultMemberUniqueName="[Range 1].[NOTES].[All]" allUniqueName="[Range 1].[NOTES].[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um of GPS VOTE]" caption="Sum of Sum of GPS VOTE" measure="1" displayFolder="" measureGroup="Range 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Sum of PH VOTE]" caption="Sum of Sum of PH VOTE" measure="1" displayFolder="" measureGroup="Range 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Sum of PSB VOTE]" caption="Sum of Sum of PSB VOTE" measure="1" displayFolder="" measureGroup="Range 1"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Sum of PBK VOTE]" caption="Sum of Sum of PBK VOTE" measure="1" displayFolder="" measureGroup="Range 1"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Sum of ASPIRASI VOTE]" caption="Sum of Sum of ASPIRASI VOTE" measure="1" displayFolder="" measureGroup="Range 1" count="0" oneField="1" hidden="1">
      <fieldsUsage count="1">
        <fieldUsage x="6"/>
      </fieldsUsage>
      <extLst>
        <ext xmlns:x15="http://schemas.microsoft.com/office/spreadsheetml/2010/11/main" uri="{B97F6D7D-B522-45F9-BDA1-12C45D357490}">
          <x15:cacheHierarchy aggregatedColumn="11"/>
        </ext>
      </extLst>
    </cacheHierarchy>
    <cacheHierarchy uniqueName="[Measures].[Sum of Sum of PBDSB VOTE]" caption="Sum of Sum of PBDSB VOTE" measure="1" displayFolder="" measureGroup="Range 1" count="0" oneField="1" hidden="1">
      <fieldsUsage count="1">
        <fieldUsage x="7"/>
      </fieldsUsage>
      <extLst>
        <ext xmlns:x15="http://schemas.microsoft.com/office/spreadsheetml/2010/11/main" uri="{B97F6D7D-B522-45F9-BDA1-12C45D357490}">
          <x15:cacheHierarchy aggregatedColumn="12"/>
        </ext>
      </extLst>
    </cacheHierarchy>
    <cacheHierarchy uniqueName="[Measures].[Sum of Sum of SEDAR VOTE]" caption="Sum of Sum of SEDAR VOTE" measure="1" displayFolder="" measureGroup="Range 1" count="0" oneField="1" hidden="1">
      <fieldsUsage count="1">
        <fieldUsage x="8"/>
      </fieldsUsage>
      <extLst>
        <ext xmlns:x15="http://schemas.microsoft.com/office/spreadsheetml/2010/11/main" uri="{B97F6D7D-B522-45F9-BDA1-12C45D357490}">
          <x15:cacheHierarchy aggregatedColumn="13"/>
        </ext>
      </extLst>
    </cacheHierarchy>
    <cacheHierarchy uniqueName="[Measures].[Sum of Sum of PAS VOTE]" caption="Sum of Sum of PAS VOTE" measure="1" displayFolder="" measureGroup="Range 1" count="0" oneField="1" hidden="1">
      <fieldsUsage count="1">
        <fieldUsage x="9"/>
      </fieldsUsage>
      <extLst>
        <ext xmlns:x15="http://schemas.microsoft.com/office/spreadsheetml/2010/11/main" uri="{B97F6D7D-B522-45F9-BDA1-12C45D357490}">
          <x15:cacheHierarchy aggregatedColumn="14"/>
        </ext>
      </extLst>
    </cacheHierarchy>
    <cacheHierarchy uniqueName="[Measures].[Sum of Sum of INDEPENDENT 1 VOTE]" caption="Sum of Sum of INDEPENDENT 1 VOTE" measure="1" displayFolder="" measureGroup="Range 1" count="0" oneField="1" hidden="1">
      <fieldsUsage count="1">
        <fieldUsage x="10"/>
      </fieldsUsage>
      <extLst>
        <ext xmlns:x15="http://schemas.microsoft.com/office/spreadsheetml/2010/11/main" uri="{B97F6D7D-B522-45F9-BDA1-12C45D357490}">
          <x15:cacheHierarchy aggregatedColumn="15"/>
        </ext>
      </extLst>
    </cacheHierarchy>
    <cacheHierarchy uniqueName="[Measures].[Sum of Sum of INDEPENDENT 2 VOTE]" caption="Sum of Sum of INDEPENDENT 2 VOTE" measure="1" displayFolder="" measureGroup="Range 1" count="0" oneField="1" hidden="1">
      <fieldsUsage count="1">
        <fieldUsage x="11"/>
      </fieldsUsage>
      <extLst>
        <ext xmlns:x15="http://schemas.microsoft.com/office/spreadsheetml/2010/11/main" uri="{B97F6D7D-B522-45F9-BDA1-12C45D357490}">
          <x15:cacheHierarchy aggregatedColumn="16"/>
        </ext>
      </extLst>
    </cacheHierarchy>
    <cacheHierarchy uniqueName="[Measures].[Sum of Sum of TOTAL REJECTED VOTES]" caption="Sum of Sum of TOTAL REJECTED VOTES" measure="1" displayFolder="" measureGroup="Range 1" count="0" oneField="1" hidden="1">
      <fieldsUsage count="1">
        <fieldUsage x="12"/>
      </fieldsUsage>
      <extLst>
        <ext xmlns:x15="http://schemas.microsoft.com/office/spreadsheetml/2010/11/main" uri="{B97F6D7D-B522-45F9-BDA1-12C45D357490}">
          <x15:cacheHierarchy aggregatedColumn="17"/>
        </ext>
      </extLst>
    </cacheHierarchy>
    <cacheHierarchy uniqueName="[Measures].[Sum of Sum of TOTAL UNRETURNED BALLOTS]" caption="Sum of Sum of TOTAL UNRETURNED BALLOTS" measure="1" displayFolder="" measureGroup="Range 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4AA08-26AF-4147-B304-577B4581EAA7}"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G2:AR132" firstHeaderRow="0" firstDataRow="1" firstDataCol="1"/>
  <pivotFields count="1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130">
    <i>
      <x/>
    </i>
    <i r="1">
      <x/>
    </i>
    <i r="1">
      <x v="1"/>
    </i>
    <i r="1">
      <x v="2"/>
    </i>
    <i r="1">
      <x v="3"/>
    </i>
    <i>
      <x v="1"/>
    </i>
    <i r="1">
      <x v="4"/>
    </i>
    <i r="1">
      <x v="5"/>
    </i>
    <i r="1">
      <x v="6"/>
    </i>
    <i r="1">
      <x v="7"/>
    </i>
    <i>
      <x v="2"/>
    </i>
    <i r="1">
      <x v="8"/>
    </i>
    <i r="1">
      <x v="9"/>
    </i>
    <i r="1">
      <x v="10"/>
    </i>
    <i r="1">
      <x v="11"/>
    </i>
    <i r="1">
      <x v="12"/>
    </i>
    <i>
      <x v="3"/>
    </i>
    <i r="1">
      <x v="13"/>
    </i>
    <i r="1">
      <x v="14"/>
    </i>
    <i r="1">
      <x v="15"/>
    </i>
    <i>
      <x v="4"/>
    </i>
    <i r="1">
      <x v="16"/>
    </i>
    <i r="1">
      <x v="17"/>
    </i>
    <i r="1">
      <x v="18"/>
    </i>
    <i r="1">
      <x v="19"/>
    </i>
    <i>
      <x v="5"/>
    </i>
    <i r="1">
      <x v="20"/>
    </i>
    <i r="1">
      <x v="21"/>
    </i>
    <i r="1">
      <x v="22"/>
    </i>
    <i>
      <x v="6"/>
    </i>
    <i r="1">
      <x v="23"/>
    </i>
    <i r="1">
      <x v="24"/>
    </i>
    <i r="1">
      <x v="25"/>
    </i>
    <i>
      <x v="7"/>
    </i>
    <i r="1">
      <x v="26"/>
    </i>
    <i r="1">
      <x v="27"/>
    </i>
    <i r="1">
      <x v="28"/>
    </i>
    <i>
      <x v="8"/>
    </i>
    <i r="1">
      <x v="29"/>
    </i>
    <i r="1">
      <x v="30"/>
    </i>
    <i r="1">
      <x v="31"/>
    </i>
    <i>
      <x v="9"/>
    </i>
    <i r="1">
      <x v="32"/>
    </i>
    <i r="1">
      <x v="33"/>
    </i>
    <i r="1">
      <x v="34"/>
    </i>
    <i>
      <x v="10"/>
    </i>
    <i r="1">
      <x v="35"/>
    </i>
    <i r="1">
      <x v="36"/>
    </i>
    <i r="1">
      <x v="37"/>
    </i>
    <i>
      <x v="11"/>
    </i>
    <i r="1">
      <x v="38"/>
    </i>
    <i r="1">
      <x v="39"/>
    </i>
    <i>
      <x v="12"/>
    </i>
    <i r="1">
      <x v="40"/>
    </i>
    <i r="1">
      <x v="41"/>
    </i>
    <i r="1">
      <x v="42"/>
    </i>
    <i>
      <x v="13"/>
    </i>
    <i r="1">
      <x v="43"/>
    </i>
    <i r="1">
      <x v="44"/>
    </i>
    <i r="1">
      <x v="45"/>
    </i>
    <i>
      <x v="14"/>
    </i>
    <i r="1">
      <x v="46"/>
    </i>
    <i r="1">
      <x v="47"/>
    </i>
    <i r="1">
      <x v="48"/>
    </i>
    <i>
      <x v="15"/>
    </i>
    <i r="1">
      <x v="49"/>
    </i>
    <i r="1">
      <x v="50"/>
    </i>
    <i>
      <x v="16"/>
    </i>
    <i r="1">
      <x v="51"/>
    </i>
    <i r="1">
      <x v="52"/>
    </i>
    <i>
      <x v="17"/>
    </i>
    <i r="1">
      <x v="53"/>
    </i>
    <i r="1">
      <x v="54"/>
    </i>
    <i>
      <x v="18"/>
    </i>
    <i r="1">
      <x v="55"/>
    </i>
    <i r="1">
      <x v="56"/>
    </i>
    <i>
      <x v="19"/>
    </i>
    <i r="1">
      <x v="57"/>
    </i>
    <i r="1">
      <x v="58"/>
    </i>
    <i r="1">
      <x v="59"/>
    </i>
    <i>
      <x v="20"/>
    </i>
    <i r="1">
      <x v="60"/>
    </i>
    <i r="1">
      <x v="61"/>
    </i>
    <i r="1">
      <x v="62"/>
    </i>
    <i r="1">
      <x v="63"/>
    </i>
    <i r="1">
      <x v="64"/>
    </i>
    <i>
      <x v="21"/>
    </i>
    <i r="1">
      <x v="65"/>
    </i>
    <i r="1">
      <x v="66"/>
    </i>
    <i r="1">
      <x v="67"/>
    </i>
    <i r="1">
      <x v="68"/>
    </i>
    <i>
      <x v="22"/>
    </i>
    <i r="1">
      <x v="69"/>
    </i>
    <i r="1">
      <x v="70"/>
    </i>
    <i r="1">
      <x v="71"/>
    </i>
    <i>
      <x v="23"/>
    </i>
    <i r="1">
      <x v="72"/>
    </i>
    <i r="1">
      <x v="73"/>
    </i>
    <i r="1">
      <x v="74"/>
    </i>
    <i r="1">
      <x v="75"/>
    </i>
    <i>
      <x v="24"/>
    </i>
    <i r="1">
      <x v="76"/>
    </i>
    <i r="1">
      <x v="77"/>
    </i>
    <i r="1">
      <x v="78"/>
    </i>
    <i>
      <x v="25"/>
    </i>
    <i r="1">
      <x v="79"/>
    </i>
    <i r="1">
      <x v="80"/>
    </i>
    <i r="1">
      <x v="81"/>
    </i>
    <i r="1">
      <x v="82"/>
    </i>
    <i>
      <x v="26"/>
    </i>
    <i r="1">
      <x v="83"/>
    </i>
    <i r="1">
      <x v="84"/>
    </i>
    <i r="1">
      <x v="85"/>
    </i>
    <i>
      <x v="27"/>
    </i>
    <i r="1">
      <x v="86"/>
    </i>
    <i r="1">
      <x v="87"/>
    </i>
    <i r="1">
      <x v="88"/>
    </i>
    <i r="1">
      <x v="89"/>
    </i>
    <i>
      <x v="28"/>
    </i>
    <i r="1">
      <x v="90"/>
    </i>
    <i r="1">
      <x v="91"/>
    </i>
    <i r="1">
      <x v="92"/>
    </i>
    <i r="1">
      <x v="93"/>
    </i>
    <i>
      <x v="29"/>
    </i>
    <i r="1">
      <x v="94"/>
    </i>
    <i r="1">
      <x v="95"/>
    </i>
    <i>
      <x v="30"/>
    </i>
    <i r="1">
      <x v="96"/>
    </i>
    <i r="1">
      <x v="97"/>
    </i>
    <i t="grand">
      <x/>
    </i>
  </rowItems>
  <colFields count="1">
    <field x="-2"/>
  </colFields>
  <colItems count="11">
    <i>
      <x/>
    </i>
    <i i="1">
      <x v="1"/>
    </i>
    <i i="2">
      <x v="2"/>
    </i>
    <i i="3">
      <x v="3"/>
    </i>
    <i i="4">
      <x v="4"/>
    </i>
    <i i="5">
      <x v="5"/>
    </i>
    <i i="6">
      <x v="6"/>
    </i>
    <i i="7">
      <x v="7"/>
    </i>
    <i i="8">
      <x v="8"/>
    </i>
    <i i="9">
      <x v="9"/>
    </i>
    <i i="10">
      <x v="10"/>
    </i>
  </colItems>
  <dataFields count="11">
    <dataField name="GPS VOTE" fld="2" baseField="0" baseItem="0"/>
    <dataField name="PH VOTE" fld="3" baseField="0" baseItem="0"/>
    <dataField name="PSB VOTE" fld="4" baseField="0" baseItem="0"/>
    <dataField name="PBK VOTE" fld="5" baseField="0" baseItem="0"/>
    <dataField name="ASPIRASI VOTE" fld="6" baseField="0" baseItem="0"/>
    <dataField name="PBDSB VOTE" fld="7" baseField="0" baseItem="0"/>
    <dataField name="SEDAR VOTE" fld="8" baseField="0" baseItem="0"/>
    <dataField name="PAS VOTE" fld="9" baseField="0" baseItem="0"/>
    <dataField name="INDEPENDENT 1 VOTE" fld="10" baseField="0" baseItem="0"/>
    <dataField name="INDEPENDENT 2 VOTE" fld="11" baseField="0" baseItem="0"/>
    <dataField name="TOTAL REJECTED VOTES" fld="12" baseField="0" baseItem="0"/>
  </dataFields>
  <formats count="4">
    <format dxfId="4">
      <pivotArea collapsedLevelsAreSubtotals="1" fieldPosition="0">
        <references count="1">
          <reference field="0" count="1">
            <x v="0"/>
          </reference>
        </references>
      </pivotArea>
    </format>
    <format dxfId="3">
      <pivotArea dataOnly="0" labelOnly="1" fieldPosition="0">
        <references count="1">
          <reference field="0" count="1">
            <x v="0"/>
          </reference>
        </references>
      </pivotArea>
    </format>
    <format dxfId="2">
      <pivotArea collapsedLevelsAreSubtotals="1" fieldPosition="0">
        <references count="1">
          <reference field="0" count="1">
            <x v="0"/>
          </reference>
        </references>
      </pivotArea>
    </format>
    <format dxfId="1">
      <pivotArea dataOnly="0" labelOnly="1" fieldPosition="0">
        <references count="1">
          <reference field="0" count="1">
            <x v="0"/>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GPS VOTE"/>
    <pivotHierarchy dragToData="1" caption="PH VOTE"/>
    <pivotHierarchy dragToData="1" caption="PSB VOTE"/>
    <pivotHierarchy dragToData="1" caption="PBK VOTE"/>
    <pivotHierarchy dragToData="1" caption="ASPIRASI VOTE"/>
    <pivotHierarchy dragToData="1" caption="PBDSB VOTE"/>
    <pivotHierarchy dragToData="1" caption="SEDAR VOTE"/>
    <pivotHierarchy dragToData="1" caption="PAS VOTE"/>
    <pivotHierarchy dragToData="1" caption="INDEPENDENT 1 VOTE"/>
    <pivotHierarchy dragToData="1" caption="INDEPENDENT 2 VOTE"/>
    <pivotHierarchy dragToData="1" caption="TOTAL REJECTED VOTES"/>
    <pivotHierarchy dragToData="1"/>
  </pivotHierarchies>
  <pivotTableStyleInfo name="PivotStyleLight16" showRowHeaders="1" showColHeaders="1" showRowStripes="0" showColStripes="0" showLastColumn="1"/>
  <rowHierarchiesUsage count="2">
    <rowHierarchyUsage hierarchyUsage="23"/>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MPACT ON DUN OUTCOME (1)!$A$1:$AB$1120">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2" dT="2026-03-20T01:55:43.43" personId="{1D4AFF44-F757-405E-B366-BBFC16E33051}" id="{B89555AD-1064-4CC1-BE3A-91BD94A3B959}">
    <text>Ethnic Values for Pre Redelineation for Lanang was recomputed</text>
  </threadedComment>
</ThreadedComments>
</file>

<file path=xl/threadedComments/threadedComment2.xml><?xml version="1.0" encoding="utf-8"?>
<ThreadedComments xmlns="http://schemas.microsoft.com/office/spreadsheetml/2018/threadedcomments" xmlns:x="http://schemas.openxmlformats.org/spreadsheetml/2006/main">
  <threadedComment ref="G65" dT="2026-03-22T01:22:30.02" personId="{1D4AFF44-F757-405E-B366-BBFC16E33051}" id="{04C88AD8-1DE8-4E5A-BB57-61ECF9CCC6E6}">
    <text>Postal Vote caused GPS - SUPP to win/ Undi Pos menyebabkan GPS - SUPP untuk menang</text>
  </threadedComment>
  <threadedComment ref="G84" dT="2026-03-22T01:23:45.03" personId="{1D4AFF44-F757-405E-B366-BBFC16E33051}" id="{CDACABD8-AC52-463A-9DDA-4DF4EABAF178}">
    <text>Postal Vote caused GPS-SUPP to win/ Undi Pos menyebabkan GPS - SUPP untuk menang</text>
  </threadedComment>
  <threadedComment ref="T94" dT="2026-03-22T02:11:50.37" personId="{1D4AFF44-F757-405E-B366-BBFC16E33051}" id="{1D624EB4-B94F-4975-B90B-13EB958647EA}">
    <text xml:space="preserve">Couldn’t project the estimated the vote distribution/ Tidak boleh mendapat anggaran agihan undi </text>
  </threadedComment>
  <threadedComment ref="U94" dT="2026-03-24T00:42:44.28" personId="{1D4AFF44-F757-405E-B366-BBFC16E33051}" id="{03134231-8D04-4536-864D-07BA72FC3D31}">
    <text>Contradictory values from the proposal document/ Pencanggahan maklumat daripada laporan cadangan</text>
  </threadedComment>
  <threadedComment ref="U98" dT="2026-03-24T00:42:54.83" personId="{1D4AFF44-F757-405E-B366-BBFC16E33051}" id="{B402480B-379B-4CEB-9F90-191DCA0D1D9B}">
    <text>Contradictory values from the proposal document/ Pencanggahan maklumat daripada laporan cadangan</text>
  </threadedComment>
</ThreadedComments>
</file>

<file path=xl/threadedComments/threadedComment3.xml><?xml version="1.0" encoding="utf-8"?>
<ThreadedComments xmlns="http://schemas.microsoft.com/office/spreadsheetml/2018/threadedcomments" xmlns:x="http://schemas.openxmlformats.org/spreadsheetml/2006/main">
  <threadedComment ref="M31" dT="2026-03-22T04:55:07.64" personId="{1D4AFF44-F757-405E-B366-BBFC16E33051}" id="{359C8CB3-BE0F-4538-82DB-F0077332A9D8}">
    <text>Difficult to quantify the changes due to Polling District (DM) Airport splitting to Lambir and Miri/ Kesukaran untuk menilai perubahan atas sebab Daerah Mengundi (DM) Airport telah dipecahkan antara Lambir dan miri</text>
  </threadedComment>
</ThreadedComment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BC70-14D6-4671-9C13-F8DF8ACB4D77}">
  <dimension ref="A1:B16"/>
  <sheetViews>
    <sheetView workbookViewId="0">
      <selection activeCell="B11" sqref="B11"/>
    </sheetView>
  </sheetViews>
  <sheetFormatPr defaultRowHeight="14.5" x14ac:dyDescent="0.35"/>
  <cols>
    <col min="1" max="1" width="18" bestFit="1" customWidth="1"/>
    <col min="2" max="2" width="43.36328125" bestFit="1" customWidth="1"/>
  </cols>
  <sheetData>
    <row r="1" spans="1:2" x14ac:dyDescent="0.35">
      <c r="A1" s="1" t="s">
        <v>2354</v>
      </c>
    </row>
    <row r="2" spans="1:2" x14ac:dyDescent="0.35">
      <c r="A2" t="s">
        <v>2355</v>
      </c>
      <c r="B2" t="s">
        <v>2356</v>
      </c>
    </row>
    <row r="3" spans="1:2" x14ac:dyDescent="0.35">
      <c r="A3">
        <v>1</v>
      </c>
      <c r="B3" s="26" t="s">
        <v>2345</v>
      </c>
    </row>
    <row r="4" spans="1:2" x14ac:dyDescent="0.35">
      <c r="A4">
        <v>2</v>
      </c>
      <c r="B4" s="26" t="s">
        <v>2346</v>
      </c>
    </row>
    <row r="5" spans="1:2" x14ac:dyDescent="0.35">
      <c r="A5">
        <v>3</v>
      </c>
      <c r="B5" s="26" t="s">
        <v>2347</v>
      </c>
    </row>
    <row r="6" spans="1:2" x14ac:dyDescent="0.35">
      <c r="A6">
        <v>4</v>
      </c>
      <c r="B6" s="26" t="s">
        <v>2348</v>
      </c>
    </row>
    <row r="7" spans="1:2" x14ac:dyDescent="0.35">
      <c r="A7">
        <v>5</v>
      </c>
      <c r="B7" s="26" t="s">
        <v>2349</v>
      </c>
    </row>
    <row r="8" spans="1:2" x14ac:dyDescent="0.35">
      <c r="A8">
        <v>6</v>
      </c>
      <c r="B8" s="26" t="s">
        <v>2350</v>
      </c>
    </row>
    <row r="9" spans="1:2" x14ac:dyDescent="0.35">
      <c r="A9">
        <v>7</v>
      </c>
      <c r="B9" s="26" t="s">
        <v>2351</v>
      </c>
    </row>
    <row r="10" spans="1:2" x14ac:dyDescent="0.35">
      <c r="A10">
        <v>8</v>
      </c>
      <c r="B10" s="53" t="s">
        <v>2352</v>
      </c>
    </row>
    <row r="11" spans="1:2" x14ac:dyDescent="0.35">
      <c r="A11">
        <v>9</v>
      </c>
      <c r="B11" s="53" t="s">
        <v>2353</v>
      </c>
    </row>
    <row r="13" spans="1:2" x14ac:dyDescent="0.35">
      <c r="A13" t="s">
        <v>2357</v>
      </c>
      <c r="B13" t="s">
        <v>2358</v>
      </c>
    </row>
    <row r="15" spans="1:2" x14ac:dyDescent="0.35">
      <c r="A15" t="s">
        <v>2397</v>
      </c>
    </row>
    <row r="16" spans="1:2" x14ac:dyDescent="0.35">
      <c r="A16" t="s">
        <v>2398</v>
      </c>
    </row>
  </sheetData>
  <hyperlinks>
    <hyperlink ref="B3" location="'OVERALL SARAWAK STATISTICS'!A1" display="OVERALL SARAWAK STATISTICS" xr:uid="{430E2ECA-95E9-4331-8EE6-41D4B4775396}"/>
    <hyperlink ref="B4" location="'OVERALL PROPOSAL'!A1" display="OVERALL PROPOSAL" xr:uid="{4E17B477-1227-4DDA-80BB-76C72DD54608}"/>
    <hyperlink ref="B5" location="'PROPOSED PARLIAMENTARY SEATS'!A1" display="PROPOSED PARLIAMENTARY SEATS" xr:uid="{270A1A2A-64A0-4911-933F-DA1ACFE6E291}"/>
    <hyperlink ref="B6" location="'PROPOSED DUN ALLOCATION'!A1" display="PROPOSED DUN ALLOCATION" xr:uid="{3E756F36-395F-471E-8B3B-93AB2B0CD0A0}"/>
    <hyperlink ref="B7" location="'PAR ETHNIC &amp; ELECTORATE CHANGE '!A1" display="PARLIAMENT (PAR) ETHNIC &amp; ELECTORATE CHANGE" xr:uid="{8269BDF4-7271-4DC4-B3DF-2B3163E959BE}"/>
    <hyperlink ref="B8" location="'DUN ETHNIC &amp; ELECTORATE CHANGE'!A1" display="DUN ETHNIC &amp; ELECTORATE CHANGE" xr:uid="{5DA020CF-4F88-4C41-A70E-756EAF2C6449}"/>
    <hyperlink ref="B9" location="'MOVEMENT OF POLLING DISTRICTS'!A1" display="MOVEMENT OF POLLING DISTRICTS" xr:uid="{20FA8103-8B7E-4381-8EF7-DF4E9C674ED6}"/>
    <hyperlink ref="B10" location="'IMPACT OF DUN OUTCOME'!A1" display="IMPACT OF DUN OUTCOME" xr:uid="{3193630C-A0E9-4997-BB29-F6D12AD69C55}"/>
    <hyperlink ref="B11" location="'IMPACT OF PARLIAMENT OUTCOME'!A1" display="IMPACT OF PARLIAMENT OUTCOME" xr:uid="{315F6C9F-B2C4-4270-84F6-02313C38543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D891-CC5A-462A-9AE3-399650D80F3F}">
  <dimension ref="A1:C22"/>
  <sheetViews>
    <sheetView workbookViewId="0"/>
  </sheetViews>
  <sheetFormatPr defaultRowHeight="14.5" x14ac:dyDescent="0.35"/>
  <cols>
    <col min="1" max="1" width="73.54296875" bestFit="1" customWidth="1"/>
    <col min="2" max="2" width="13.7265625" bestFit="1" customWidth="1"/>
  </cols>
  <sheetData>
    <row r="1" spans="1:3" ht="43.5" x14ac:dyDescent="0.35">
      <c r="A1" s="28" t="s">
        <v>2362</v>
      </c>
    </row>
    <row r="3" spans="1:3" x14ac:dyDescent="0.35">
      <c r="A3" t="s">
        <v>2359</v>
      </c>
      <c r="B3" t="s">
        <v>2360</v>
      </c>
      <c r="C3" t="s">
        <v>2361</v>
      </c>
    </row>
    <row r="4" spans="1:3" x14ac:dyDescent="0.35">
      <c r="A4" t="s">
        <v>2363</v>
      </c>
      <c r="B4">
        <v>563342</v>
      </c>
      <c r="C4">
        <v>28.05</v>
      </c>
    </row>
    <row r="5" spans="1:3" x14ac:dyDescent="0.35">
      <c r="A5" t="s">
        <v>2364</v>
      </c>
      <c r="B5">
        <v>561336</v>
      </c>
      <c r="C5">
        <v>27.95</v>
      </c>
    </row>
    <row r="6" spans="1:3" x14ac:dyDescent="0.35">
      <c r="A6" t="s">
        <v>0</v>
      </c>
      <c r="B6">
        <v>573639</v>
      </c>
      <c r="C6">
        <v>28.56</v>
      </c>
    </row>
    <row r="7" spans="1:3" x14ac:dyDescent="0.35">
      <c r="A7" t="s">
        <v>2</v>
      </c>
      <c r="B7">
        <v>175441</v>
      </c>
      <c r="C7">
        <v>8.74</v>
      </c>
    </row>
    <row r="8" spans="1:3" x14ac:dyDescent="0.35">
      <c r="A8" t="s">
        <v>3</v>
      </c>
      <c r="B8">
        <v>109156</v>
      </c>
      <c r="C8">
        <v>5.44</v>
      </c>
    </row>
    <row r="9" spans="1:3" x14ac:dyDescent="0.35">
      <c r="A9" t="s">
        <v>2365</v>
      </c>
      <c r="B9">
        <v>25433</v>
      </c>
      <c r="C9">
        <v>1.27</v>
      </c>
    </row>
    <row r="10" spans="1:3" x14ac:dyDescent="0.35">
      <c r="A10" s="29" t="s">
        <v>2368</v>
      </c>
      <c r="B10">
        <f>SUM(B4:B9)</f>
        <v>2008347</v>
      </c>
      <c r="C10">
        <f>SUM(C4:C9)</f>
        <v>100.00999999999999</v>
      </c>
    </row>
    <row r="12" spans="1:3" x14ac:dyDescent="0.35">
      <c r="A12" t="s">
        <v>2366</v>
      </c>
      <c r="B12" t="s">
        <v>2360</v>
      </c>
      <c r="C12" t="s">
        <v>2361</v>
      </c>
    </row>
    <row r="13" spans="1:3" x14ac:dyDescent="0.35">
      <c r="A13" t="s">
        <v>4</v>
      </c>
      <c r="B13">
        <v>129612</v>
      </c>
      <c r="C13">
        <v>6.45</v>
      </c>
    </row>
    <row r="14" spans="1:3" x14ac:dyDescent="0.35">
      <c r="A14" t="s">
        <v>5</v>
      </c>
      <c r="B14">
        <v>409188</v>
      </c>
      <c r="C14">
        <v>20.37</v>
      </c>
    </row>
    <row r="15" spans="1:3" x14ac:dyDescent="0.35">
      <c r="A15" t="s">
        <v>6</v>
      </c>
      <c r="B15">
        <v>430772</v>
      </c>
      <c r="C15">
        <v>21.45</v>
      </c>
    </row>
    <row r="16" spans="1:3" x14ac:dyDescent="0.35">
      <c r="A16" t="s">
        <v>7</v>
      </c>
      <c r="B16">
        <v>339226</v>
      </c>
      <c r="C16">
        <v>16.89</v>
      </c>
    </row>
    <row r="17" spans="1:3" x14ac:dyDescent="0.35">
      <c r="A17" t="s">
        <v>8</v>
      </c>
      <c r="B17">
        <v>303098</v>
      </c>
      <c r="C17">
        <v>15.09</v>
      </c>
    </row>
    <row r="18" spans="1:3" x14ac:dyDescent="0.35">
      <c r="A18" t="s">
        <v>9</v>
      </c>
      <c r="B18">
        <v>227517</v>
      </c>
      <c r="C18">
        <v>11.33</v>
      </c>
    </row>
    <row r="19" spans="1:3" x14ac:dyDescent="0.35">
      <c r="A19" t="s">
        <v>10</v>
      </c>
      <c r="B19">
        <v>120006</v>
      </c>
      <c r="C19">
        <v>5.98</v>
      </c>
    </row>
    <row r="20" spans="1:3" x14ac:dyDescent="0.35">
      <c r="A20" t="s">
        <v>11</v>
      </c>
      <c r="B20">
        <v>37018</v>
      </c>
      <c r="C20">
        <v>1.84</v>
      </c>
    </row>
    <row r="21" spans="1:3" x14ac:dyDescent="0.35">
      <c r="A21" t="s">
        <v>2367</v>
      </c>
      <c r="B21">
        <v>11960</v>
      </c>
      <c r="C21">
        <v>0.6</v>
      </c>
    </row>
    <row r="22" spans="1:3" x14ac:dyDescent="0.35">
      <c r="A22" s="29" t="s">
        <v>2368</v>
      </c>
      <c r="B22">
        <f>SUM(B13:B21)</f>
        <v>2008397</v>
      </c>
      <c r="C22">
        <f>SUM(C13:C21)</f>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E43D-7385-49A1-AA54-88BAB7D52A17}">
  <dimension ref="A1:F70"/>
  <sheetViews>
    <sheetView workbookViewId="0"/>
  </sheetViews>
  <sheetFormatPr defaultRowHeight="14.5" x14ac:dyDescent="0.35"/>
  <cols>
    <col min="1" max="1" width="71.7265625" bestFit="1" customWidth="1"/>
    <col min="2" max="2" width="23.26953125" bestFit="1" customWidth="1"/>
    <col min="3" max="3" width="64.08984375" bestFit="1" customWidth="1"/>
    <col min="4" max="4" width="54" bestFit="1" customWidth="1"/>
    <col min="5" max="5" width="67.1796875" customWidth="1"/>
    <col min="6" max="6" width="77.90625" bestFit="1" customWidth="1"/>
  </cols>
  <sheetData>
    <row r="1" spans="1:4" ht="33.5" customHeight="1" x14ac:dyDescent="0.35">
      <c r="A1" s="28" t="s">
        <v>2386</v>
      </c>
      <c r="C1" s="28" t="s">
        <v>2369</v>
      </c>
    </row>
    <row r="2" spans="1:4" ht="43.5" x14ac:dyDescent="0.35">
      <c r="A2" t="s">
        <v>12</v>
      </c>
      <c r="C2" s="30" t="s">
        <v>2373</v>
      </c>
      <c r="D2" s="31" t="s">
        <v>2372</v>
      </c>
    </row>
    <row r="3" spans="1:4" x14ac:dyDescent="0.35">
      <c r="A3" t="s">
        <v>13</v>
      </c>
      <c r="C3" s="5" t="s">
        <v>29</v>
      </c>
      <c r="D3" s="2" t="s">
        <v>44</v>
      </c>
    </row>
    <row r="4" spans="1:4" x14ac:dyDescent="0.35">
      <c r="A4" t="s">
        <v>14</v>
      </c>
      <c r="C4" s="5" t="s">
        <v>30</v>
      </c>
      <c r="D4" s="2" t="s">
        <v>45</v>
      </c>
    </row>
    <row r="5" spans="1:4" x14ac:dyDescent="0.35">
      <c r="A5" t="s">
        <v>15</v>
      </c>
      <c r="C5" s="3" t="s">
        <v>31</v>
      </c>
      <c r="D5" s="6" t="s">
        <v>46</v>
      </c>
    </row>
    <row r="6" spans="1:4" x14ac:dyDescent="0.35">
      <c r="A6" t="s">
        <v>16</v>
      </c>
      <c r="C6" s="4"/>
      <c r="D6" s="7" t="s">
        <v>47</v>
      </c>
    </row>
    <row r="7" spans="1:4" x14ac:dyDescent="0.35">
      <c r="A7" t="s">
        <v>17</v>
      </c>
      <c r="C7" s="5" t="s">
        <v>32</v>
      </c>
      <c r="D7" s="2" t="s">
        <v>48</v>
      </c>
    </row>
    <row r="8" spans="1:4" x14ac:dyDescent="0.35">
      <c r="A8" t="s">
        <v>18</v>
      </c>
      <c r="C8" s="5" t="s">
        <v>33</v>
      </c>
      <c r="D8" s="2" t="s">
        <v>49</v>
      </c>
    </row>
    <row r="9" spans="1:4" x14ac:dyDescent="0.35">
      <c r="A9" t="s">
        <v>19</v>
      </c>
      <c r="C9" s="5" t="s">
        <v>34</v>
      </c>
      <c r="D9" s="2" t="s">
        <v>50</v>
      </c>
    </row>
    <row r="10" spans="1:4" x14ac:dyDescent="0.35">
      <c r="C10" s="5" t="s">
        <v>35</v>
      </c>
      <c r="D10" s="2" t="s">
        <v>51</v>
      </c>
    </row>
    <row r="11" spans="1:4" ht="29" x14ac:dyDescent="0.35">
      <c r="A11" s="28" t="s">
        <v>2370</v>
      </c>
      <c r="C11" s="3" t="s">
        <v>36</v>
      </c>
      <c r="D11" s="6" t="s">
        <v>52</v>
      </c>
    </row>
    <row r="12" spans="1:4" x14ac:dyDescent="0.35">
      <c r="A12" t="s">
        <v>2383</v>
      </c>
      <c r="C12" s="4"/>
      <c r="D12" s="7" t="s">
        <v>53</v>
      </c>
    </row>
    <row r="13" spans="1:4" x14ac:dyDescent="0.35">
      <c r="A13" t="s">
        <v>2374</v>
      </c>
      <c r="C13" s="5" t="s">
        <v>37</v>
      </c>
      <c r="D13" s="2" t="s">
        <v>54</v>
      </c>
    </row>
    <row r="14" spans="1:4" x14ac:dyDescent="0.35">
      <c r="A14" t="s">
        <v>43</v>
      </c>
      <c r="C14" s="5" t="s">
        <v>38</v>
      </c>
      <c r="D14" s="2" t="s">
        <v>55</v>
      </c>
    </row>
    <row r="15" spans="1:4" x14ac:dyDescent="0.35">
      <c r="A15" t="s">
        <v>20</v>
      </c>
      <c r="C15" s="5" t="s">
        <v>39</v>
      </c>
      <c r="D15" s="2" t="s">
        <v>56</v>
      </c>
    </row>
    <row r="16" spans="1:4" x14ac:dyDescent="0.35">
      <c r="A16" t="s">
        <v>21</v>
      </c>
      <c r="C16" s="5" t="s">
        <v>40</v>
      </c>
      <c r="D16" s="2" t="s">
        <v>57</v>
      </c>
    </row>
    <row r="17" spans="1:4" x14ac:dyDescent="0.35">
      <c r="A17" t="s">
        <v>22</v>
      </c>
      <c r="C17" s="3" t="s">
        <v>41</v>
      </c>
      <c r="D17" s="6" t="s">
        <v>58</v>
      </c>
    </row>
    <row r="18" spans="1:4" x14ac:dyDescent="0.35">
      <c r="A18" t="s">
        <v>23</v>
      </c>
      <c r="C18" s="4"/>
      <c r="D18" s="7" t="s">
        <v>59</v>
      </c>
    </row>
    <row r="19" spans="1:4" x14ac:dyDescent="0.35">
      <c r="A19" t="s">
        <v>24</v>
      </c>
      <c r="C19" s="5" t="s">
        <v>42</v>
      </c>
      <c r="D19" s="2" t="s">
        <v>60</v>
      </c>
    </row>
    <row r="20" spans="1:4" x14ac:dyDescent="0.35">
      <c r="A20" t="s">
        <v>2375</v>
      </c>
    </row>
    <row r="21" spans="1:4" ht="29" x14ac:dyDescent="0.35">
      <c r="A21" t="s">
        <v>25</v>
      </c>
      <c r="C21" s="28" t="s">
        <v>2387</v>
      </c>
    </row>
    <row r="22" spans="1:4" x14ac:dyDescent="0.35">
      <c r="A22" t="s">
        <v>26</v>
      </c>
      <c r="C22" s="2" t="s">
        <v>2384</v>
      </c>
      <c r="D22" s="2" t="s">
        <v>2385</v>
      </c>
    </row>
    <row r="23" spans="1:4" x14ac:dyDescent="0.35">
      <c r="A23" t="s">
        <v>2377</v>
      </c>
      <c r="C23" s="2" t="s">
        <v>61</v>
      </c>
      <c r="D23" s="2" t="s">
        <v>62</v>
      </c>
    </row>
    <row r="24" spans="1:4" x14ac:dyDescent="0.35">
      <c r="A24" t="s">
        <v>2378</v>
      </c>
      <c r="C24" s="2" t="s">
        <v>63</v>
      </c>
      <c r="D24" s="2" t="s">
        <v>64</v>
      </c>
    </row>
    <row r="25" spans="1:4" x14ac:dyDescent="0.35">
      <c r="A25" t="s">
        <v>2376</v>
      </c>
      <c r="C25" s="2" t="s">
        <v>65</v>
      </c>
      <c r="D25" s="2" t="s">
        <v>66</v>
      </c>
    </row>
    <row r="26" spans="1:4" x14ac:dyDescent="0.35">
      <c r="A26" t="s">
        <v>2379</v>
      </c>
      <c r="C26" s="2" t="s">
        <v>67</v>
      </c>
      <c r="D26" s="2" t="s">
        <v>68</v>
      </c>
    </row>
    <row r="27" spans="1:4" x14ac:dyDescent="0.35">
      <c r="A27" t="s">
        <v>27</v>
      </c>
      <c r="C27" s="2" t="s">
        <v>69</v>
      </c>
      <c r="D27" s="2" t="s">
        <v>70</v>
      </c>
    </row>
    <row r="28" spans="1:4" x14ac:dyDescent="0.35">
      <c r="A28" t="s">
        <v>28</v>
      </c>
      <c r="C28" s="2" t="s">
        <v>71</v>
      </c>
      <c r="D28" s="2" t="s">
        <v>72</v>
      </c>
    </row>
    <row r="29" spans="1:4" x14ac:dyDescent="0.35">
      <c r="A29" t="s">
        <v>2380</v>
      </c>
      <c r="C29" s="2" t="s">
        <v>73</v>
      </c>
      <c r="D29" s="2" t="s">
        <v>74</v>
      </c>
    </row>
    <row r="30" spans="1:4" x14ac:dyDescent="0.35">
      <c r="A30" t="s">
        <v>2381</v>
      </c>
      <c r="C30" s="2" t="s">
        <v>75</v>
      </c>
      <c r="D30" s="2" t="s">
        <v>76</v>
      </c>
    </row>
    <row r="31" spans="1:4" x14ac:dyDescent="0.35">
      <c r="A31" t="s">
        <v>2382</v>
      </c>
      <c r="C31" s="2" t="s">
        <v>77</v>
      </c>
      <c r="D31" s="2" t="s">
        <v>78</v>
      </c>
    </row>
    <row r="32" spans="1:4" x14ac:dyDescent="0.35">
      <c r="A32" t="s">
        <v>2394</v>
      </c>
      <c r="C32" s="2" t="s">
        <v>79</v>
      </c>
      <c r="D32" s="2" t="s">
        <v>80</v>
      </c>
    </row>
    <row r="34" spans="1:1" ht="29" x14ac:dyDescent="0.35">
      <c r="A34" s="28" t="s">
        <v>2371</v>
      </c>
    </row>
    <row r="35" spans="1:1" x14ac:dyDescent="0.35">
      <c r="A35" t="s">
        <v>29</v>
      </c>
    </row>
    <row r="36" spans="1:1" x14ac:dyDescent="0.35">
      <c r="A36" t="s">
        <v>30</v>
      </c>
    </row>
    <row r="37" spans="1:1" x14ac:dyDescent="0.35">
      <c r="A37" t="s">
        <v>31</v>
      </c>
    </row>
    <row r="38" spans="1:1" x14ac:dyDescent="0.35">
      <c r="A38" t="s">
        <v>32</v>
      </c>
    </row>
    <row r="39" spans="1:1" x14ac:dyDescent="0.35">
      <c r="A39" t="s">
        <v>33</v>
      </c>
    </row>
    <row r="40" spans="1:1" x14ac:dyDescent="0.35">
      <c r="A40" t="s">
        <v>34</v>
      </c>
    </row>
    <row r="41" spans="1:1" x14ac:dyDescent="0.35">
      <c r="A41" t="s">
        <v>35</v>
      </c>
    </row>
    <row r="42" spans="1:1" x14ac:dyDescent="0.35">
      <c r="A42" t="s">
        <v>36</v>
      </c>
    </row>
    <row r="43" spans="1:1" x14ac:dyDescent="0.35">
      <c r="A43" t="s">
        <v>37</v>
      </c>
    </row>
    <row r="44" spans="1:1" x14ac:dyDescent="0.35">
      <c r="A44" t="s">
        <v>38</v>
      </c>
    </row>
    <row r="45" spans="1:1" x14ac:dyDescent="0.35">
      <c r="A45" t="s">
        <v>39</v>
      </c>
    </row>
    <row r="46" spans="1:1" x14ac:dyDescent="0.35">
      <c r="A46" t="s">
        <v>40</v>
      </c>
    </row>
    <row r="47" spans="1:1" x14ac:dyDescent="0.35">
      <c r="A47" t="s">
        <v>41</v>
      </c>
    </row>
    <row r="48" spans="1:1" x14ac:dyDescent="0.35">
      <c r="A48" t="s">
        <v>42</v>
      </c>
    </row>
    <row r="50" spans="1:6" x14ac:dyDescent="0.35">
      <c r="A50" s="1" t="s">
        <v>2393</v>
      </c>
    </row>
    <row r="51" spans="1:6" x14ac:dyDescent="0.35">
      <c r="A51" s="2" t="s">
        <v>2359</v>
      </c>
      <c r="B51" s="2" t="s">
        <v>2361</v>
      </c>
      <c r="C51" s="2" t="s">
        <v>2391</v>
      </c>
      <c r="D51" s="2" t="s">
        <v>2395</v>
      </c>
      <c r="E51" s="2" t="s">
        <v>2392</v>
      </c>
      <c r="F51" s="2" t="s">
        <v>2396</v>
      </c>
    </row>
    <row r="52" spans="1:6" x14ac:dyDescent="0.35">
      <c r="A52" s="2" t="s">
        <v>2388</v>
      </c>
      <c r="B52" s="2">
        <v>28.05</v>
      </c>
      <c r="C52" s="2">
        <v>31</v>
      </c>
      <c r="D52" s="25">
        <f>(31/82)*100</f>
        <v>37.804878048780488</v>
      </c>
      <c r="E52" s="32">
        <v>38</v>
      </c>
      <c r="F52" s="25">
        <f>(38/99)*100</f>
        <v>38.383838383838381</v>
      </c>
    </row>
    <row r="53" spans="1:6" x14ac:dyDescent="0.35">
      <c r="A53" s="2" t="s">
        <v>2364</v>
      </c>
      <c r="B53" s="2">
        <v>27.95</v>
      </c>
      <c r="C53" s="2">
        <v>16</v>
      </c>
      <c r="D53" s="25">
        <f>(16/82)*100</f>
        <v>19.512195121951219</v>
      </c>
      <c r="E53" s="2">
        <v>19</v>
      </c>
      <c r="F53" s="25">
        <f>(19/99)*100</f>
        <v>19.19191919191919</v>
      </c>
    </row>
    <row r="54" spans="1:6" x14ac:dyDescent="0.35">
      <c r="A54" s="2" t="s">
        <v>0</v>
      </c>
      <c r="B54" s="2">
        <v>28.56</v>
      </c>
      <c r="C54" s="2">
        <v>21</v>
      </c>
      <c r="D54" s="25">
        <f>(21/82)*100</f>
        <v>25.609756097560975</v>
      </c>
      <c r="E54" s="2">
        <v>25</v>
      </c>
      <c r="F54" s="25">
        <f>(25/99)*100</f>
        <v>25.252525252525253</v>
      </c>
    </row>
    <row r="55" spans="1:6" x14ac:dyDescent="0.35">
      <c r="A55" s="2" t="s">
        <v>2</v>
      </c>
      <c r="B55" s="2">
        <v>8.74</v>
      </c>
      <c r="C55" s="2">
        <v>8</v>
      </c>
      <c r="D55" s="25">
        <f>(8/82)*100</f>
        <v>9.7560975609756095</v>
      </c>
      <c r="E55" s="2">
        <v>10</v>
      </c>
      <c r="F55" s="25">
        <f>(10/99)*100</f>
        <v>10.1010101010101</v>
      </c>
    </row>
    <row r="56" spans="1:6" x14ac:dyDescent="0.35">
      <c r="A56" s="2" t="s">
        <v>3</v>
      </c>
      <c r="B56" s="2">
        <v>5.44</v>
      </c>
      <c r="C56" s="2">
        <v>6</v>
      </c>
      <c r="D56" s="25">
        <f>(6/82)*100</f>
        <v>7.3170731707317067</v>
      </c>
      <c r="E56" s="2">
        <v>7</v>
      </c>
      <c r="F56" s="25">
        <f>(7/99)*100</f>
        <v>7.0707070707070701</v>
      </c>
    </row>
    <row r="57" spans="1:6" x14ac:dyDescent="0.35">
      <c r="A57" t="s">
        <v>2365</v>
      </c>
      <c r="B57" s="2">
        <v>1.27</v>
      </c>
      <c r="C57" s="2" t="s">
        <v>2390</v>
      </c>
      <c r="D57" s="25"/>
      <c r="E57" s="2"/>
      <c r="F57" s="2"/>
    </row>
    <row r="59" spans="1:6" x14ac:dyDescent="0.35">
      <c r="A59" t="s">
        <v>2389</v>
      </c>
    </row>
    <row r="60" spans="1:6" x14ac:dyDescent="0.35">
      <c r="A60" t="s">
        <v>2399</v>
      </c>
    </row>
    <row r="62" spans="1:6" x14ac:dyDescent="0.35">
      <c r="A62" s="1" t="s">
        <v>2403</v>
      </c>
    </row>
    <row r="63" spans="1:6" x14ac:dyDescent="0.35">
      <c r="A63" s="2" t="s">
        <v>2402</v>
      </c>
      <c r="B63" s="2" t="s">
        <v>2404</v>
      </c>
      <c r="C63" s="2" t="s">
        <v>2405</v>
      </c>
    </row>
    <row r="64" spans="1:6" x14ac:dyDescent="0.35">
      <c r="A64" s="2" t="s">
        <v>2400</v>
      </c>
      <c r="B64" s="2">
        <v>31</v>
      </c>
      <c r="C64" s="2">
        <v>38</v>
      </c>
    </row>
    <row r="65" spans="1:3" x14ac:dyDescent="0.35">
      <c r="A65" s="2" t="s">
        <v>2401</v>
      </c>
      <c r="B65" s="2">
        <v>16</v>
      </c>
      <c r="C65" s="2">
        <v>19</v>
      </c>
    </row>
    <row r="66" spans="1:3" x14ac:dyDescent="0.35">
      <c r="A66" s="2" t="s">
        <v>2322</v>
      </c>
      <c r="B66" s="2">
        <v>18</v>
      </c>
      <c r="C66" s="2">
        <v>21</v>
      </c>
    </row>
    <row r="67" spans="1:3" x14ac:dyDescent="0.35">
      <c r="A67" s="2" t="s">
        <v>2325</v>
      </c>
      <c r="B67" s="2">
        <v>11</v>
      </c>
      <c r="C67" s="2">
        <v>14</v>
      </c>
    </row>
    <row r="68" spans="1:3" x14ac:dyDescent="0.35">
      <c r="A68" s="2" t="s">
        <v>2323</v>
      </c>
      <c r="B68" s="2">
        <v>6</v>
      </c>
      <c r="C68" s="2">
        <v>7</v>
      </c>
    </row>
    <row r="69" spans="1:3" x14ac:dyDescent="0.35">
      <c r="A69" s="20" t="s">
        <v>2406</v>
      </c>
    </row>
    <row r="70" spans="1:3" x14ac:dyDescent="0.35">
      <c r="A70" s="49" t="s">
        <v>2495</v>
      </c>
      <c r="B70" s="50" t="s">
        <v>2352</v>
      </c>
    </row>
  </sheetData>
  <hyperlinks>
    <hyperlink ref="B70" location="'IMPACT OF DUN OUTCOME (2)'!A1" display="IMPACT OF DUN OUTCOME" xr:uid="{53C27FCA-A270-42D0-A7C0-D565DA8A04E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6970-94CC-439D-BA49-A887A3F6F69B}">
  <dimension ref="A1:G33"/>
  <sheetViews>
    <sheetView workbookViewId="0">
      <pane ySplit="2" topLeftCell="A3" activePane="bottomLeft" state="frozen"/>
      <selection pane="bottomLeft"/>
    </sheetView>
  </sheetViews>
  <sheetFormatPr defaultRowHeight="14.5" x14ac:dyDescent="0.35"/>
  <cols>
    <col min="1" max="1" width="20.81640625" bestFit="1" customWidth="1"/>
    <col min="2" max="2" width="13.6328125" bestFit="1" customWidth="1"/>
    <col min="3" max="3" width="30.36328125" bestFit="1" customWidth="1"/>
    <col min="4" max="4" width="41.453125" bestFit="1" customWidth="1"/>
    <col min="5" max="5" width="51.36328125" bestFit="1" customWidth="1"/>
    <col min="6" max="6" width="51.26953125" bestFit="1" customWidth="1"/>
    <col min="7" max="7" width="121.6328125" bestFit="1" customWidth="1"/>
  </cols>
  <sheetData>
    <row r="1" spans="1:7" s="27" customFormat="1" ht="29" x14ac:dyDescent="0.35">
      <c r="A1" s="27" t="s">
        <v>380</v>
      </c>
      <c r="B1" s="27" t="s">
        <v>381</v>
      </c>
      <c r="C1" s="27" t="s">
        <v>383</v>
      </c>
      <c r="D1" s="27" t="s">
        <v>382</v>
      </c>
      <c r="E1" s="27" t="s">
        <v>392</v>
      </c>
      <c r="F1" s="27" t="s">
        <v>393</v>
      </c>
      <c r="G1" s="27" t="s">
        <v>2244</v>
      </c>
    </row>
    <row r="2" spans="1:7" s="39" customFormat="1" x14ac:dyDescent="0.35">
      <c r="A2" s="39" t="s">
        <v>2474</v>
      </c>
      <c r="B2" s="39" t="s">
        <v>2475</v>
      </c>
      <c r="C2" s="39" t="s">
        <v>2478</v>
      </c>
      <c r="D2" s="39" t="s">
        <v>2479</v>
      </c>
      <c r="E2" s="39" t="s">
        <v>2483</v>
      </c>
      <c r="F2" s="39" t="s">
        <v>2484</v>
      </c>
      <c r="G2" s="39" t="s">
        <v>2458</v>
      </c>
    </row>
    <row r="3" spans="1:7" x14ac:dyDescent="0.35">
      <c r="A3" t="str">
        <f t="shared" ref="A3:A33" si="0">C3</f>
        <v>P.192</v>
      </c>
      <c r="B3" t="s">
        <v>82</v>
      </c>
      <c r="C3" t="s">
        <v>83</v>
      </c>
      <c r="D3" t="s">
        <v>84</v>
      </c>
      <c r="E3" t="str">
        <f t="shared" ref="E3:E33" si="1">C3</f>
        <v>P.192</v>
      </c>
      <c r="F3" t="str">
        <f t="shared" ref="F3:F33" si="2">D3</f>
        <v>MAS GADING</v>
      </c>
      <c r="G3" t="s">
        <v>2498</v>
      </c>
    </row>
    <row r="4" spans="1:7" x14ac:dyDescent="0.35">
      <c r="A4" t="str">
        <f t="shared" si="0"/>
        <v>P.193</v>
      </c>
      <c r="B4" t="s">
        <v>82</v>
      </c>
      <c r="C4" t="s">
        <v>89</v>
      </c>
      <c r="D4" t="s">
        <v>90</v>
      </c>
      <c r="E4" t="str">
        <f t="shared" si="1"/>
        <v>P.193</v>
      </c>
      <c r="F4" t="str">
        <f t="shared" si="2"/>
        <v>SANTUBONG</v>
      </c>
    </row>
    <row r="5" spans="1:7" x14ac:dyDescent="0.35">
      <c r="A5" t="str">
        <f t="shared" si="0"/>
        <v>P.194</v>
      </c>
      <c r="B5" t="s">
        <v>82</v>
      </c>
      <c r="C5" t="s">
        <v>100</v>
      </c>
      <c r="D5" t="s">
        <v>101</v>
      </c>
      <c r="E5" t="str">
        <f t="shared" si="1"/>
        <v>P.194</v>
      </c>
      <c r="F5" t="str">
        <f t="shared" si="2"/>
        <v>PETRA JAYA</v>
      </c>
      <c r="G5" t="s">
        <v>2407</v>
      </c>
    </row>
    <row r="6" spans="1:7" x14ac:dyDescent="0.35">
      <c r="A6" t="str">
        <f t="shared" si="0"/>
        <v>P.195</v>
      </c>
      <c r="B6" t="s">
        <v>82</v>
      </c>
      <c r="C6" t="s">
        <v>111</v>
      </c>
      <c r="D6" t="s">
        <v>112</v>
      </c>
      <c r="E6" t="str">
        <f t="shared" si="1"/>
        <v>P.195</v>
      </c>
      <c r="F6" t="str">
        <f t="shared" si="2"/>
        <v>BANDAR KUCHING</v>
      </c>
    </row>
    <row r="7" spans="1:7" x14ac:dyDescent="0.35">
      <c r="A7" t="str">
        <f t="shared" si="0"/>
        <v>P.196</v>
      </c>
      <c r="B7" t="s">
        <v>82</v>
      </c>
      <c r="C7" t="s">
        <v>122</v>
      </c>
      <c r="D7" t="s">
        <v>123</v>
      </c>
      <c r="E7" t="str">
        <f t="shared" si="1"/>
        <v>P.196</v>
      </c>
      <c r="F7" t="str">
        <f t="shared" si="2"/>
        <v>STAMPIN</v>
      </c>
      <c r="G7" t="s">
        <v>2496</v>
      </c>
    </row>
    <row r="8" spans="1:7" x14ac:dyDescent="0.35">
      <c r="A8" t="str">
        <f t="shared" si="0"/>
        <v>P.197</v>
      </c>
      <c r="B8" t="s">
        <v>82</v>
      </c>
      <c r="C8" t="s">
        <v>133</v>
      </c>
      <c r="D8" t="s">
        <v>134</v>
      </c>
      <c r="E8" t="str">
        <f t="shared" si="1"/>
        <v>P.197</v>
      </c>
      <c r="F8" t="str">
        <f t="shared" si="2"/>
        <v>KOTA SAMARAHAN</v>
      </c>
    </row>
    <row r="9" spans="1:7" x14ac:dyDescent="0.35">
      <c r="A9" t="str">
        <f t="shared" si="0"/>
        <v>P.198</v>
      </c>
      <c r="B9" t="s">
        <v>82</v>
      </c>
      <c r="C9" t="s">
        <v>144</v>
      </c>
      <c r="D9" t="s">
        <v>145</v>
      </c>
      <c r="E9" t="str">
        <f t="shared" si="1"/>
        <v>P.198</v>
      </c>
      <c r="F9" t="str">
        <f t="shared" si="2"/>
        <v>PUNCAK BORNEO</v>
      </c>
      <c r="G9" t="s">
        <v>2497</v>
      </c>
    </row>
    <row r="10" spans="1:7" x14ac:dyDescent="0.35">
      <c r="A10" t="str">
        <f t="shared" si="0"/>
        <v>P.199</v>
      </c>
      <c r="B10" t="s">
        <v>82</v>
      </c>
      <c r="C10" t="s">
        <v>154</v>
      </c>
      <c r="D10" t="s">
        <v>155</v>
      </c>
      <c r="E10" t="str">
        <f t="shared" si="1"/>
        <v>P.199</v>
      </c>
      <c r="F10" t="str">
        <f t="shared" si="2"/>
        <v>SERIAN</v>
      </c>
      <c r="G10" t="s">
        <v>2407</v>
      </c>
    </row>
    <row r="11" spans="1:7" x14ac:dyDescent="0.35">
      <c r="A11" t="str">
        <f t="shared" si="0"/>
        <v>P.200</v>
      </c>
      <c r="B11" t="s">
        <v>82</v>
      </c>
      <c r="C11" t="s">
        <v>165</v>
      </c>
      <c r="D11" t="s">
        <v>166</v>
      </c>
      <c r="E11" t="str">
        <f t="shared" si="1"/>
        <v>P.200</v>
      </c>
      <c r="F11" t="str">
        <f t="shared" si="2"/>
        <v>BATANG SADONG</v>
      </c>
    </row>
    <row r="12" spans="1:7" x14ac:dyDescent="0.35">
      <c r="A12" t="str">
        <f t="shared" si="0"/>
        <v>P.201</v>
      </c>
      <c r="B12" t="s">
        <v>82</v>
      </c>
      <c r="C12" t="s">
        <v>176</v>
      </c>
      <c r="D12" t="s">
        <v>177</v>
      </c>
      <c r="E12" t="str">
        <f t="shared" si="1"/>
        <v>P.201</v>
      </c>
      <c r="F12" t="str">
        <f t="shared" si="2"/>
        <v>BATANG LUPAR</v>
      </c>
      <c r="G12" t="s">
        <v>2407</v>
      </c>
    </row>
    <row r="13" spans="1:7" x14ac:dyDescent="0.35">
      <c r="A13" t="str">
        <f t="shared" si="0"/>
        <v>P.202</v>
      </c>
      <c r="B13" t="s">
        <v>82</v>
      </c>
      <c r="C13" t="s">
        <v>187</v>
      </c>
      <c r="D13" t="s">
        <v>188</v>
      </c>
      <c r="E13" t="str">
        <f t="shared" si="1"/>
        <v>P.202</v>
      </c>
      <c r="F13" t="str">
        <f t="shared" si="2"/>
        <v>SRI AMAN</v>
      </c>
      <c r="G13" t="s">
        <v>2407</v>
      </c>
    </row>
    <row r="14" spans="1:7" x14ac:dyDescent="0.35">
      <c r="A14" t="str">
        <f t="shared" si="0"/>
        <v>P.203</v>
      </c>
      <c r="B14" t="s">
        <v>82</v>
      </c>
      <c r="C14" t="s">
        <v>198</v>
      </c>
      <c r="D14" t="s">
        <v>199</v>
      </c>
      <c r="E14" t="str">
        <f t="shared" si="1"/>
        <v>P.203</v>
      </c>
      <c r="F14" t="str">
        <f t="shared" si="2"/>
        <v>LUBOK ANTU</v>
      </c>
      <c r="G14" t="s">
        <v>2407</v>
      </c>
    </row>
    <row r="15" spans="1:7" x14ac:dyDescent="0.35">
      <c r="A15" t="str">
        <f t="shared" si="0"/>
        <v>P.204</v>
      </c>
      <c r="B15" t="s">
        <v>82</v>
      </c>
      <c r="C15" t="s">
        <v>206</v>
      </c>
      <c r="D15" t="s">
        <v>207</v>
      </c>
      <c r="E15" t="str">
        <f t="shared" si="1"/>
        <v>P.204</v>
      </c>
      <c r="F15" t="str">
        <f t="shared" si="2"/>
        <v>BETONG</v>
      </c>
      <c r="G15" t="s">
        <v>2407</v>
      </c>
    </row>
    <row r="16" spans="1:7" x14ac:dyDescent="0.35">
      <c r="A16" t="str">
        <f t="shared" si="0"/>
        <v>P.205</v>
      </c>
      <c r="B16" t="s">
        <v>82</v>
      </c>
      <c r="C16" t="s">
        <v>217</v>
      </c>
      <c r="D16" t="s">
        <v>218</v>
      </c>
      <c r="E16" t="str">
        <f t="shared" si="1"/>
        <v>P.205</v>
      </c>
      <c r="F16" t="str">
        <f t="shared" si="2"/>
        <v>SARATOK</v>
      </c>
    </row>
    <row r="17" spans="1:7" x14ac:dyDescent="0.35">
      <c r="A17" t="str">
        <f t="shared" si="0"/>
        <v>P.206</v>
      </c>
      <c r="B17" t="s">
        <v>82</v>
      </c>
      <c r="C17" t="s">
        <v>228</v>
      </c>
      <c r="D17" t="s">
        <v>229</v>
      </c>
      <c r="E17" t="str">
        <f t="shared" si="1"/>
        <v>P.206</v>
      </c>
      <c r="F17" t="str">
        <f t="shared" si="2"/>
        <v>TANJONG MANIS</v>
      </c>
      <c r="G17" t="s">
        <v>2407</v>
      </c>
    </row>
    <row r="18" spans="1:7" x14ac:dyDescent="0.35">
      <c r="A18" t="str">
        <f t="shared" si="0"/>
        <v>P.207</v>
      </c>
      <c r="B18" t="s">
        <v>82</v>
      </c>
      <c r="C18" t="s">
        <v>235</v>
      </c>
      <c r="D18" t="s">
        <v>236</v>
      </c>
      <c r="E18" t="str">
        <f t="shared" si="1"/>
        <v>P.207</v>
      </c>
      <c r="F18" t="str">
        <f t="shared" si="2"/>
        <v>IGAN</v>
      </c>
      <c r="G18" t="s">
        <v>2407</v>
      </c>
    </row>
    <row r="19" spans="1:7" x14ac:dyDescent="0.35">
      <c r="A19" t="str">
        <f t="shared" si="0"/>
        <v>P.208</v>
      </c>
      <c r="B19" t="s">
        <v>82</v>
      </c>
      <c r="C19" t="s">
        <v>242</v>
      </c>
      <c r="D19" t="s">
        <v>243</v>
      </c>
      <c r="E19" t="str">
        <f t="shared" si="1"/>
        <v>P.208</v>
      </c>
      <c r="F19" t="str">
        <f t="shared" si="2"/>
        <v>SARIKEI</v>
      </c>
      <c r="G19" t="s">
        <v>2407</v>
      </c>
    </row>
    <row r="20" spans="1:7" x14ac:dyDescent="0.35">
      <c r="A20" t="str">
        <f t="shared" si="0"/>
        <v>P.209</v>
      </c>
      <c r="B20" t="s">
        <v>82</v>
      </c>
      <c r="C20" t="s">
        <v>250</v>
      </c>
      <c r="D20" t="s">
        <v>251</v>
      </c>
      <c r="E20" t="str">
        <f t="shared" si="1"/>
        <v>P.209</v>
      </c>
      <c r="F20" t="str">
        <f t="shared" si="2"/>
        <v>JULAU</v>
      </c>
    </row>
    <row r="21" spans="1:7" x14ac:dyDescent="0.35">
      <c r="A21" t="str">
        <f t="shared" si="0"/>
        <v>P.210</v>
      </c>
      <c r="B21" t="s">
        <v>82</v>
      </c>
      <c r="C21" t="s">
        <v>258</v>
      </c>
      <c r="D21" t="s">
        <v>259</v>
      </c>
      <c r="E21" t="str">
        <f t="shared" si="1"/>
        <v>P.210</v>
      </c>
      <c r="F21" t="str">
        <f t="shared" si="2"/>
        <v>KANOWIT</v>
      </c>
    </row>
    <row r="22" spans="1:7" x14ac:dyDescent="0.35">
      <c r="A22" t="str">
        <f t="shared" si="0"/>
        <v>P.211</v>
      </c>
      <c r="B22" t="s">
        <v>82</v>
      </c>
      <c r="C22" t="s">
        <v>266</v>
      </c>
      <c r="D22" t="s">
        <v>267</v>
      </c>
      <c r="E22" t="str">
        <f t="shared" si="1"/>
        <v>P.211</v>
      </c>
      <c r="F22" t="str">
        <f t="shared" si="2"/>
        <v>LANANG</v>
      </c>
      <c r="G22" t="s">
        <v>2407</v>
      </c>
    </row>
    <row r="23" spans="1:7" x14ac:dyDescent="0.35">
      <c r="A23" t="str">
        <f t="shared" si="0"/>
        <v>P.212</v>
      </c>
      <c r="B23" t="s">
        <v>82</v>
      </c>
      <c r="C23" t="s">
        <v>274</v>
      </c>
      <c r="D23" t="s">
        <v>275</v>
      </c>
      <c r="E23" t="str">
        <f t="shared" si="1"/>
        <v>P.212</v>
      </c>
      <c r="F23" t="str">
        <f t="shared" si="2"/>
        <v>SIBU</v>
      </c>
      <c r="G23" t="s">
        <v>2407</v>
      </c>
    </row>
    <row r="24" spans="1:7" x14ac:dyDescent="0.35">
      <c r="A24" t="str">
        <f t="shared" si="0"/>
        <v>P.213</v>
      </c>
      <c r="B24" t="s">
        <v>82</v>
      </c>
      <c r="C24" t="s">
        <v>284</v>
      </c>
      <c r="D24" t="s">
        <v>285</v>
      </c>
      <c r="E24" t="str">
        <f t="shared" si="1"/>
        <v>P.213</v>
      </c>
      <c r="F24" t="str">
        <f t="shared" si="2"/>
        <v>MUKAH</v>
      </c>
      <c r="G24" t="s">
        <v>2407</v>
      </c>
    </row>
    <row r="25" spans="1:7" x14ac:dyDescent="0.35">
      <c r="A25" t="str">
        <f t="shared" si="0"/>
        <v>P.214</v>
      </c>
      <c r="B25" t="s">
        <v>82</v>
      </c>
      <c r="C25" t="s">
        <v>295</v>
      </c>
      <c r="D25" t="s">
        <v>296</v>
      </c>
      <c r="E25" t="str">
        <f t="shared" si="1"/>
        <v>P.214</v>
      </c>
      <c r="F25" t="str">
        <f t="shared" si="2"/>
        <v>SELANGAU</v>
      </c>
      <c r="G25" t="s">
        <v>2496</v>
      </c>
    </row>
    <row r="26" spans="1:7" x14ac:dyDescent="0.35">
      <c r="A26" t="str">
        <f t="shared" si="0"/>
        <v>P.215</v>
      </c>
      <c r="B26" t="s">
        <v>82</v>
      </c>
      <c r="C26" t="s">
        <v>303</v>
      </c>
      <c r="D26" t="s">
        <v>304</v>
      </c>
      <c r="E26" t="str">
        <f t="shared" si="1"/>
        <v>P.215</v>
      </c>
      <c r="F26" t="str">
        <f t="shared" si="2"/>
        <v>KAPIT</v>
      </c>
      <c r="G26" t="s">
        <v>2407</v>
      </c>
    </row>
    <row r="27" spans="1:7" x14ac:dyDescent="0.35">
      <c r="A27" t="str">
        <f t="shared" si="0"/>
        <v>P.216</v>
      </c>
      <c r="B27" t="s">
        <v>82</v>
      </c>
      <c r="C27" t="s">
        <v>314</v>
      </c>
      <c r="D27" t="s">
        <v>315</v>
      </c>
      <c r="E27" t="str">
        <f t="shared" si="1"/>
        <v>P.216</v>
      </c>
      <c r="F27" t="str">
        <f t="shared" si="2"/>
        <v>HULU RAJANG</v>
      </c>
      <c r="G27" t="s">
        <v>2407</v>
      </c>
    </row>
    <row r="28" spans="1:7" x14ac:dyDescent="0.35">
      <c r="A28" t="str">
        <f t="shared" si="0"/>
        <v>P.217</v>
      </c>
      <c r="B28" t="s">
        <v>82</v>
      </c>
      <c r="C28" t="s">
        <v>325</v>
      </c>
      <c r="D28" t="s">
        <v>326</v>
      </c>
      <c r="E28" t="str">
        <f t="shared" si="1"/>
        <v>P.217</v>
      </c>
      <c r="F28" t="str">
        <f t="shared" si="2"/>
        <v>BINTULU</v>
      </c>
      <c r="G28" t="s">
        <v>2407</v>
      </c>
    </row>
    <row r="29" spans="1:7" x14ac:dyDescent="0.35">
      <c r="A29" t="str">
        <f t="shared" si="0"/>
        <v>P.218</v>
      </c>
      <c r="B29" t="s">
        <v>82</v>
      </c>
      <c r="C29" t="s">
        <v>338</v>
      </c>
      <c r="D29" t="s">
        <v>339</v>
      </c>
      <c r="E29" t="str">
        <f t="shared" si="1"/>
        <v>P.218</v>
      </c>
      <c r="F29" t="str">
        <f t="shared" si="2"/>
        <v>SIBUTI</v>
      </c>
      <c r="G29" t="s">
        <v>2407</v>
      </c>
    </row>
    <row r="30" spans="1:7" x14ac:dyDescent="0.35">
      <c r="A30" t="str">
        <f t="shared" si="0"/>
        <v>P.219</v>
      </c>
      <c r="B30" t="s">
        <v>82</v>
      </c>
      <c r="C30" t="s">
        <v>345</v>
      </c>
      <c r="D30" t="s">
        <v>346</v>
      </c>
      <c r="E30" t="str">
        <f t="shared" si="1"/>
        <v>P.219</v>
      </c>
      <c r="F30" t="str">
        <f t="shared" si="2"/>
        <v>MIRI</v>
      </c>
      <c r="G30" t="s">
        <v>2407</v>
      </c>
    </row>
    <row r="31" spans="1:7" x14ac:dyDescent="0.35">
      <c r="A31" t="str">
        <f t="shared" si="0"/>
        <v>P.220</v>
      </c>
      <c r="B31" t="s">
        <v>82</v>
      </c>
      <c r="C31" t="s">
        <v>355</v>
      </c>
      <c r="D31" t="s">
        <v>356</v>
      </c>
      <c r="E31" t="str">
        <f t="shared" si="1"/>
        <v>P.220</v>
      </c>
      <c r="F31" t="str">
        <f t="shared" si="2"/>
        <v>BARAM</v>
      </c>
      <c r="G31" t="s">
        <v>2496</v>
      </c>
    </row>
    <row r="32" spans="1:7" x14ac:dyDescent="0.35">
      <c r="A32" t="str">
        <f t="shared" si="0"/>
        <v>P.221</v>
      </c>
      <c r="B32" t="s">
        <v>82</v>
      </c>
      <c r="C32" t="s">
        <v>366</v>
      </c>
      <c r="D32" t="s">
        <v>367</v>
      </c>
      <c r="E32" t="str">
        <f t="shared" si="1"/>
        <v>P.221</v>
      </c>
      <c r="F32" t="str">
        <f t="shared" si="2"/>
        <v>LIMBANG</v>
      </c>
    </row>
    <row r="33" spans="1:6" x14ac:dyDescent="0.35">
      <c r="A33" t="str">
        <f t="shared" si="0"/>
        <v>P.222</v>
      </c>
      <c r="B33" t="s">
        <v>82</v>
      </c>
      <c r="C33" t="s">
        <v>374</v>
      </c>
      <c r="D33" t="s">
        <v>375</v>
      </c>
      <c r="E33" t="str">
        <f t="shared" si="1"/>
        <v>P.222</v>
      </c>
      <c r="F33" t="str">
        <f t="shared" si="2"/>
        <v>LAWAS</v>
      </c>
    </row>
  </sheetData>
  <autoFilter ref="A1:G33" xr:uid="{E6D36970-94CC-439D-BA49-A887A3F6F69B}">
    <sortState xmlns:xlrd2="http://schemas.microsoft.com/office/spreadsheetml/2017/richdata2" ref="A2:G33">
      <sortCondition ref="C1:C33"/>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FDEE-BF33-4F90-809B-A821C5FC3A8D}">
  <dimension ref="A1:N101"/>
  <sheetViews>
    <sheetView zoomScale="53" zoomScaleNormal="53" workbookViewId="0">
      <pane ySplit="2" topLeftCell="A3" activePane="bottomLeft" state="frozen"/>
      <selection pane="bottomLeft"/>
    </sheetView>
  </sheetViews>
  <sheetFormatPr defaultRowHeight="14.5" x14ac:dyDescent="0.35"/>
  <cols>
    <col min="1" max="1" width="23.7265625" bestFit="1" customWidth="1"/>
    <col min="2" max="2" width="16" bestFit="1" customWidth="1"/>
    <col min="3" max="3" width="36.08984375" bestFit="1" customWidth="1"/>
    <col min="4" max="4" width="35.90625" bestFit="1" customWidth="1"/>
    <col min="5" max="5" width="45.36328125" bestFit="1" customWidth="1"/>
    <col min="6" max="6" width="45.1796875" bestFit="1" customWidth="1"/>
    <col min="7" max="7" width="33.90625" bestFit="1" customWidth="1"/>
    <col min="8" max="8" width="46.26953125" bestFit="1" customWidth="1"/>
    <col min="9" max="9" width="46.08984375" bestFit="1" customWidth="1"/>
    <col min="10" max="10" width="55.453125" bestFit="1" customWidth="1"/>
    <col min="11" max="11" width="55.36328125" bestFit="1" customWidth="1"/>
    <col min="12" max="12" width="13.81640625" bestFit="1" customWidth="1"/>
    <col min="13" max="13" width="18.453125" bestFit="1" customWidth="1"/>
    <col min="14" max="14" width="163.1796875" bestFit="1" customWidth="1"/>
  </cols>
  <sheetData>
    <row r="1" spans="1:14" x14ac:dyDescent="0.35">
      <c r="A1" t="s">
        <v>380</v>
      </c>
      <c r="B1" t="s">
        <v>381</v>
      </c>
      <c r="C1" t="s">
        <v>384</v>
      </c>
      <c r="D1" t="s">
        <v>385</v>
      </c>
      <c r="E1" t="s">
        <v>383</v>
      </c>
      <c r="F1" t="s">
        <v>382</v>
      </c>
      <c r="G1" t="s">
        <v>386</v>
      </c>
      <c r="H1" t="s">
        <v>390</v>
      </c>
      <c r="I1" t="s">
        <v>391</v>
      </c>
      <c r="J1" t="s">
        <v>392</v>
      </c>
      <c r="K1" t="s">
        <v>393</v>
      </c>
      <c r="L1" t="s">
        <v>387</v>
      </c>
      <c r="M1" t="s">
        <v>388</v>
      </c>
      <c r="N1" t="s">
        <v>2244</v>
      </c>
    </row>
    <row r="2" spans="1:14" s="40" customFormat="1" x14ac:dyDescent="0.35">
      <c r="A2" s="40" t="s">
        <v>2474</v>
      </c>
      <c r="B2" s="40" t="s">
        <v>2475</v>
      </c>
      <c r="C2" s="40" t="s">
        <v>2476</v>
      </c>
      <c r="D2" s="40" t="s">
        <v>2477</v>
      </c>
      <c r="E2" s="40" t="s">
        <v>2478</v>
      </c>
      <c r="F2" s="40" t="s">
        <v>2479</v>
      </c>
      <c r="G2" s="40" t="s">
        <v>2480</v>
      </c>
      <c r="H2" s="40" t="s">
        <v>2481</v>
      </c>
      <c r="I2" s="40" t="s">
        <v>2482</v>
      </c>
      <c r="J2" s="40" t="s">
        <v>2483</v>
      </c>
      <c r="K2" s="40" t="s">
        <v>2484</v>
      </c>
      <c r="L2" s="40" t="s">
        <v>2449</v>
      </c>
      <c r="M2" s="40" t="s">
        <v>2485</v>
      </c>
      <c r="N2" s="40" t="s">
        <v>2458</v>
      </c>
    </row>
    <row r="3" spans="1:14" x14ac:dyDescent="0.35">
      <c r="A3" t="s">
        <v>81</v>
      </c>
      <c r="B3" t="s">
        <v>82</v>
      </c>
      <c r="C3" t="s">
        <v>85</v>
      </c>
      <c r="D3" t="s">
        <v>61</v>
      </c>
      <c r="E3" t="s">
        <v>83</v>
      </c>
      <c r="F3" t="s">
        <v>84</v>
      </c>
      <c r="I3" t="s">
        <v>62</v>
      </c>
      <c r="K3" t="s">
        <v>84</v>
      </c>
      <c r="M3" t="s">
        <v>2410</v>
      </c>
      <c r="N3" t="s">
        <v>2499</v>
      </c>
    </row>
    <row r="4" spans="1:14" x14ac:dyDescent="0.35">
      <c r="A4" t="s">
        <v>86</v>
      </c>
      <c r="B4" t="s">
        <v>82</v>
      </c>
      <c r="C4" t="s">
        <v>87</v>
      </c>
      <c r="D4" t="s">
        <v>63</v>
      </c>
      <c r="E4" t="s">
        <v>83</v>
      </c>
      <c r="F4" t="s">
        <v>84</v>
      </c>
      <c r="I4" t="s">
        <v>64</v>
      </c>
      <c r="K4" t="s">
        <v>84</v>
      </c>
      <c r="M4" t="s">
        <v>2410</v>
      </c>
      <c r="N4" t="s">
        <v>2499</v>
      </c>
    </row>
    <row r="5" spans="1:14" x14ac:dyDescent="0.35">
      <c r="I5" t="s">
        <v>44</v>
      </c>
      <c r="K5" t="s">
        <v>84</v>
      </c>
      <c r="L5" t="s">
        <v>2410</v>
      </c>
      <c r="N5" t="s">
        <v>2411</v>
      </c>
    </row>
    <row r="6" spans="1:14" x14ac:dyDescent="0.35">
      <c r="A6" t="s">
        <v>88</v>
      </c>
      <c r="B6" t="s">
        <v>82</v>
      </c>
      <c r="C6" t="s">
        <v>91</v>
      </c>
      <c r="D6" t="s">
        <v>92</v>
      </c>
      <c r="E6" t="s">
        <v>89</v>
      </c>
      <c r="F6" t="s">
        <v>90</v>
      </c>
      <c r="I6" t="s">
        <v>92</v>
      </c>
      <c r="K6" t="s">
        <v>90</v>
      </c>
    </row>
    <row r="7" spans="1:14" x14ac:dyDescent="0.35">
      <c r="I7" t="s">
        <v>45</v>
      </c>
      <c r="K7" t="s">
        <v>90</v>
      </c>
      <c r="L7" t="s">
        <v>2410</v>
      </c>
      <c r="N7" t="s">
        <v>2412</v>
      </c>
    </row>
    <row r="8" spans="1:14" x14ac:dyDescent="0.35">
      <c r="A8" t="s">
        <v>93</v>
      </c>
      <c r="B8" t="s">
        <v>82</v>
      </c>
      <c r="C8" t="s">
        <v>94</v>
      </c>
      <c r="D8" t="s">
        <v>95</v>
      </c>
      <c r="E8" t="s">
        <v>89</v>
      </c>
      <c r="F8" t="s">
        <v>90</v>
      </c>
      <c r="I8" t="s">
        <v>95</v>
      </c>
      <c r="K8" t="s">
        <v>90</v>
      </c>
      <c r="N8" t="s">
        <v>2499</v>
      </c>
    </row>
    <row r="9" spans="1:14" x14ac:dyDescent="0.35">
      <c r="A9" t="s">
        <v>96</v>
      </c>
      <c r="B9" t="s">
        <v>82</v>
      </c>
      <c r="C9" t="s">
        <v>97</v>
      </c>
      <c r="D9" t="s">
        <v>98</v>
      </c>
      <c r="E9" t="s">
        <v>89</v>
      </c>
      <c r="F9" t="s">
        <v>90</v>
      </c>
      <c r="I9" t="s">
        <v>98</v>
      </c>
      <c r="K9" t="s">
        <v>90</v>
      </c>
    </row>
    <row r="10" spans="1:14" x14ac:dyDescent="0.35">
      <c r="A10" t="s">
        <v>99</v>
      </c>
      <c r="B10" t="s">
        <v>82</v>
      </c>
      <c r="C10" t="s">
        <v>102</v>
      </c>
      <c r="D10" t="s">
        <v>103</v>
      </c>
      <c r="E10" t="s">
        <v>100</v>
      </c>
      <c r="F10" t="s">
        <v>101</v>
      </c>
      <c r="I10" t="s">
        <v>103</v>
      </c>
      <c r="K10" t="s">
        <v>101</v>
      </c>
      <c r="N10" t="s">
        <v>2499</v>
      </c>
    </row>
    <row r="11" spans="1:14" x14ac:dyDescent="0.35">
      <c r="I11" t="s">
        <v>47</v>
      </c>
      <c r="K11" t="s">
        <v>101</v>
      </c>
      <c r="L11" t="s">
        <v>2410</v>
      </c>
      <c r="N11" t="s">
        <v>2414</v>
      </c>
    </row>
    <row r="12" spans="1:14" x14ac:dyDescent="0.35">
      <c r="I12" t="s">
        <v>46</v>
      </c>
      <c r="K12" t="s">
        <v>101</v>
      </c>
      <c r="L12" t="s">
        <v>2410</v>
      </c>
      <c r="N12" t="s">
        <v>2414</v>
      </c>
    </row>
    <row r="13" spans="1:14" x14ac:dyDescent="0.35">
      <c r="A13" t="s">
        <v>104</v>
      </c>
      <c r="B13" t="s">
        <v>82</v>
      </c>
      <c r="C13" t="s">
        <v>105</v>
      </c>
      <c r="D13" t="s">
        <v>106</v>
      </c>
      <c r="E13" t="s">
        <v>100</v>
      </c>
      <c r="F13" t="s">
        <v>101</v>
      </c>
      <c r="I13" t="s">
        <v>106</v>
      </c>
      <c r="K13" t="s">
        <v>101</v>
      </c>
      <c r="N13" t="s">
        <v>2499</v>
      </c>
    </row>
    <row r="14" spans="1:14" x14ac:dyDescent="0.35">
      <c r="A14" t="s">
        <v>107</v>
      </c>
      <c r="B14" t="s">
        <v>82</v>
      </c>
      <c r="C14" t="s">
        <v>108</v>
      </c>
      <c r="D14" t="s">
        <v>109</v>
      </c>
      <c r="E14" t="s">
        <v>100</v>
      </c>
      <c r="F14" t="s">
        <v>101</v>
      </c>
      <c r="I14" t="s">
        <v>109</v>
      </c>
      <c r="K14" t="s">
        <v>101</v>
      </c>
    </row>
    <row r="15" spans="1:14" x14ac:dyDescent="0.35">
      <c r="A15" t="s">
        <v>110</v>
      </c>
      <c r="B15" t="s">
        <v>82</v>
      </c>
      <c r="C15" t="s">
        <v>113</v>
      </c>
      <c r="D15" t="s">
        <v>114</v>
      </c>
      <c r="E15" t="s">
        <v>111</v>
      </c>
      <c r="F15" t="s">
        <v>112</v>
      </c>
      <c r="I15" t="s">
        <v>114</v>
      </c>
      <c r="K15" t="s">
        <v>112</v>
      </c>
    </row>
    <row r="16" spans="1:14" x14ac:dyDescent="0.35">
      <c r="A16" t="s">
        <v>115</v>
      </c>
      <c r="B16" t="s">
        <v>82</v>
      </c>
      <c r="C16" t="s">
        <v>116</v>
      </c>
      <c r="D16" t="s">
        <v>117</v>
      </c>
      <c r="E16" t="s">
        <v>111</v>
      </c>
      <c r="F16" t="s">
        <v>112</v>
      </c>
      <c r="I16" t="s">
        <v>117</v>
      </c>
      <c r="K16" t="s">
        <v>112</v>
      </c>
    </row>
    <row r="17" spans="1:14" x14ac:dyDescent="0.35">
      <c r="A17" t="s">
        <v>118</v>
      </c>
      <c r="B17" t="s">
        <v>82</v>
      </c>
      <c r="C17" t="s">
        <v>119</v>
      </c>
      <c r="D17" t="s">
        <v>120</v>
      </c>
      <c r="E17" t="s">
        <v>111</v>
      </c>
      <c r="F17" t="s">
        <v>112</v>
      </c>
      <c r="I17" t="s">
        <v>120</v>
      </c>
      <c r="K17" t="s">
        <v>112</v>
      </c>
    </row>
    <row r="18" spans="1:14" x14ac:dyDescent="0.35">
      <c r="A18" t="s">
        <v>121</v>
      </c>
      <c r="B18" t="s">
        <v>82</v>
      </c>
      <c r="C18" t="s">
        <v>124</v>
      </c>
      <c r="D18" t="s">
        <v>125</v>
      </c>
      <c r="E18" t="s">
        <v>122</v>
      </c>
      <c r="F18" t="s">
        <v>123</v>
      </c>
      <c r="I18" t="s">
        <v>125</v>
      </c>
      <c r="K18" t="s">
        <v>123</v>
      </c>
      <c r="N18" t="s">
        <v>2499</v>
      </c>
    </row>
    <row r="19" spans="1:14" x14ac:dyDescent="0.35">
      <c r="A19" t="s">
        <v>126</v>
      </c>
      <c r="B19" t="s">
        <v>82</v>
      </c>
      <c r="C19" t="s">
        <v>127</v>
      </c>
      <c r="D19" t="s">
        <v>128</v>
      </c>
      <c r="E19" t="s">
        <v>122</v>
      </c>
      <c r="F19" t="s">
        <v>123</v>
      </c>
      <c r="I19" t="s">
        <v>128</v>
      </c>
      <c r="K19" t="s">
        <v>123</v>
      </c>
      <c r="N19" t="s">
        <v>2499</v>
      </c>
    </row>
    <row r="20" spans="1:14" x14ac:dyDescent="0.35">
      <c r="A20" t="s">
        <v>129</v>
      </c>
      <c r="B20" t="s">
        <v>82</v>
      </c>
      <c r="C20" t="s">
        <v>130</v>
      </c>
      <c r="D20" t="s">
        <v>131</v>
      </c>
      <c r="E20" t="s">
        <v>122</v>
      </c>
      <c r="F20" t="s">
        <v>123</v>
      </c>
      <c r="I20" t="s">
        <v>131</v>
      </c>
      <c r="K20" t="s">
        <v>123</v>
      </c>
      <c r="N20" t="s">
        <v>2499</v>
      </c>
    </row>
    <row r="21" spans="1:14" x14ac:dyDescent="0.35">
      <c r="I21" t="s">
        <v>48</v>
      </c>
      <c r="K21" t="s">
        <v>123</v>
      </c>
      <c r="L21" t="s">
        <v>2410</v>
      </c>
      <c r="N21" t="s">
        <v>2415</v>
      </c>
    </row>
    <row r="22" spans="1:14" x14ac:dyDescent="0.35">
      <c r="A22" t="s">
        <v>132</v>
      </c>
      <c r="B22" t="s">
        <v>82</v>
      </c>
      <c r="C22" t="s">
        <v>135</v>
      </c>
      <c r="D22" t="s">
        <v>136</v>
      </c>
      <c r="E22" t="s">
        <v>133</v>
      </c>
      <c r="F22" t="s">
        <v>134</v>
      </c>
      <c r="I22" t="s">
        <v>136</v>
      </c>
      <c r="K22" t="s">
        <v>134</v>
      </c>
    </row>
    <row r="23" spans="1:14" x14ac:dyDescent="0.35">
      <c r="A23" t="s">
        <v>137</v>
      </c>
      <c r="B23" t="s">
        <v>82</v>
      </c>
      <c r="C23" t="s">
        <v>138</v>
      </c>
      <c r="D23" t="s">
        <v>139</v>
      </c>
      <c r="E23" t="s">
        <v>133</v>
      </c>
      <c r="F23" t="s">
        <v>134</v>
      </c>
      <c r="I23" t="s">
        <v>139</v>
      </c>
      <c r="K23" t="s">
        <v>134</v>
      </c>
    </row>
    <row r="24" spans="1:14" x14ac:dyDescent="0.35">
      <c r="A24" t="s">
        <v>140</v>
      </c>
      <c r="B24" t="s">
        <v>82</v>
      </c>
      <c r="C24" t="s">
        <v>141</v>
      </c>
      <c r="D24" t="s">
        <v>142</v>
      </c>
      <c r="E24" t="s">
        <v>133</v>
      </c>
      <c r="F24" t="s">
        <v>134</v>
      </c>
      <c r="I24" t="s">
        <v>142</v>
      </c>
      <c r="K24" t="s">
        <v>134</v>
      </c>
    </row>
    <row r="25" spans="1:14" x14ac:dyDescent="0.35">
      <c r="A25" t="s">
        <v>143</v>
      </c>
      <c r="B25" t="s">
        <v>82</v>
      </c>
      <c r="C25" t="s">
        <v>146</v>
      </c>
      <c r="D25" t="s">
        <v>147</v>
      </c>
      <c r="E25" t="s">
        <v>144</v>
      </c>
      <c r="F25" t="s">
        <v>145</v>
      </c>
      <c r="I25" t="s">
        <v>147</v>
      </c>
      <c r="K25" t="s">
        <v>84</v>
      </c>
      <c r="N25" t="s">
        <v>2408</v>
      </c>
    </row>
    <row r="26" spans="1:14" x14ac:dyDescent="0.35">
      <c r="A26" t="s">
        <v>148</v>
      </c>
      <c r="B26" t="s">
        <v>82</v>
      </c>
      <c r="C26" t="s">
        <v>149</v>
      </c>
      <c r="D26" t="s">
        <v>150</v>
      </c>
      <c r="E26" t="s">
        <v>144</v>
      </c>
      <c r="F26" t="s">
        <v>145</v>
      </c>
      <c r="I26" t="s">
        <v>150</v>
      </c>
      <c r="K26" t="s">
        <v>145</v>
      </c>
      <c r="N26" t="s">
        <v>2499</v>
      </c>
    </row>
    <row r="27" spans="1:14" x14ac:dyDescent="0.35">
      <c r="A27" t="s">
        <v>151</v>
      </c>
      <c r="B27" t="s">
        <v>82</v>
      </c>
      <c r="C27" t="s">
        <v>152</v>
      </c>
      <c r="D27" t="s">
        <v>65</v>
      </c>
      <c r="E27" t="s">
        <v>144</v>
      </c>
      <c r="F27" t="s">
        <v>145</v>
      </c>
      <c r="I27" t="s">
        <v>66</v>
      </c>
      <c r="K27" t="s">
        <v>145</v>
      </c>
      <c r="M27" t="s">
        <v>2410</v>
      </c>
      <c r="N27" t="s">
        <v>2499</v>
      </c>
    </row>
    <row r="28" spans="1:14" x14ac:dyDescent="0.35">
      <c r="I28" t="s">
        <v>49</v>
      </c>
      <c r="K28" t="s">
        <v>145</v>
      </c>
      <c r="L28" t="s">
        <v>2410</v>
      </c>
      <c r="N28" t="s">
        <v>2416</v>
      </c>
    </row>
    <row r="29" spans="1:14" x14ac:dyDescent="0.35">
      <c r="A29" t="s">
        <v>153</v>
      </c>
      <c r="B29" t="s">
        <v>82</v>
      </c>
      <c r="C29" t="s">
        <v>156</v>
      </c>
      <c r="D29" t="s">
        <v>157</v>
      </c>
      <c r="E29" t="s">
        <v>154</v>
      </c>
      <c r="F29" t="s">
        <v>155</v>
      </c>
      <c r="I29" t="s">
        <v>157</v>
      </c>
      <c r="K29" t="s">
        <v>155</v>
      </c>
      <c r="N29" t="s">
        <v>2499</v>
      </c>
    </row>
    <row r="30" spans="1:14" x14ac:dyDescent="0.35">
      <c r="A30" t="s">
        <v>158</v>
      </c>
      <c r="B30" t="s">
        <v>82</v>
      </c>
      <c r="C30" t="s">
        <v>159</v>
      </c>
      <c r="D30" t="s">
        <v>160</v>
      </c>
      <c r="E30" t="s">
        <v>154</v>
      </c>
      <c r="F30" t="s">
        <v>155</v>
      </c>
      <c r="I30" t="s">
        <v>160</v>
      </c>
      <c r="K30" t="s">
        <v>155</v>
      </c>
    </row>
    <row r="31" spans="1:14" x14ac:dyDescent="0.35">
      <c r="A31" t="s">
        <v>161</v>
      </c>
      <c r="B31" t="s">
        <v>82</v>
      </c>
      <c r="C31" t="s">
        <v>162</v>
      </c>
      <c r="D31" t="s">
        <v>163</v>
      </c>
      <c r="E31" t="s">
        <v>154</v>
      </c>
      <c r="F31" t="s">
        <v>155</v>
      </c>
      <c r="I31" t="s">
        <v>163</v>
      </c>
      <c r="K31" t="s">
        <v>155</v>
      </c>
    </row>
    <row r="32" spans="1:14" x14ac:dyDescent="0.35">
      <c r="A32" t="s">
        <v>164</v>
      </c>
      <c r="B32" t="s">
        <v>82</v>
      </c>
      <c r="C32" t="s">
        <v>167</v>
      </c>
      <c r="D32" t="s">
        <v>168</v>
      </c>
      <c r="E32" t="s">
        <v>165</v>
      </c>
      <c r="F32" t="s">
        <v>166</v>
      </c>
      <c r="I32" t="s">
        <v>168</v>
      </c>
      <c r="K32" t="s">
        <v>166</v>
      </c>
    </row>
    <row r="33" spans="1:14" x14ac:dyDescent="0.35">
      <c r="A33" t="s">
        <v>169</v>
      </c>
      <c r="B33" t="s">
        <v>82</v>
      </c>
      <c r="C33" t="s">
        <v>170</v>
      </c>
      <c r="D33" t="s">
        <v>171</v>
      </c>
      <c r="E33" t="s">
        <v>165</v>
      </c>
      <c r="F33" t="s">
        <v>166</v>
      </c>
      <c r="I33" t="s">
        <v>171</v>
      </c>
      <c r="K33" t="s">
        <v>166</v>
      </c>
    </row>
    <row r="34" spans="1:14" x14ac:dyDescent="0.35">
      <c r="A34" t="s">
        <v>172</v>
      </c>
      <c r="B34" t="s">
        <v>82</v>
      </c>
      <c r="C34" t="s">
        <v>173</v>
      </c>
      <c r="D34" t="s">
        <v>174</v>
      </c>
      <c r="E34" t="s">
        <v>165</v>
      </c>
      <c r="F34" t="s">
        <v>166</v>
      </c>
      <c r="I34" t="s">
        <v>174</v>
      </c>
      <c r="K34" t="s">
        <v>166</v>
      </c>
    </row>
    <row r="35" spans="1:14" x14ac:dyDescent="0.35">
      <c r="A35" t="s">
        <v>175</v>
      </c>
      <c r="B35" t="s">
        <v>82</v>
      </c>
      <c r="C35" t="s">
        <v>178</v>
      </c>
      <c r="D35" t="s">
        <v>179</v>
      </c>
      <c r="E35" t="s">
        <v>176</v>
      </c>
      <c r="F35" t="s">
        <v>177</v>
      </c>
      <c r="I35" t="s">
        <v>179</v>
      </c>
      <c r="K35" t="s">
        <v>177</v>
      </c>
    </row>
    <row r="36" spans="1:14" x14ac:dyDescent="0.35">
      <c r="A36" t="s">
        <v>180</v>
      </c>
      <c r="B36" t="s">
        <v>82</v>
      </c>
      <c r="C36" t="s">
        <v>181</v>
      </c>
      <c r="D36" t="s">
        <v>182</v>
      </c>
      <c r="E36" t="s">
        <v>176</v>
      </c>
      <c r="F36" t="s">
        <v>177</v>
      </c>
      <c r="I36" t="s">
        <v>182</v>
      </c>
      <c r="K36" t="s">
        <v>177</v>
      </c>
      <c r="N36" t="s">
        <v>2499</v>
      </c>
    </row>
    <row r="37" spans="1:14" x14ac:dyDescent="0.35">
      <c r="A37" t="s">
        <v>183</v>
      </c>
      <c r="B37" t="s">
        <v>82</v>
      </c>
      <c r="C37" t="s">
        <v>184</v>
      </c>
      <c r="D37" t="s">
        <v>185</v>
      </c>
      <c r="E37" t="s">
        <v>176</v>
      </c>
      <c r="F37" t="s">
        <v>177</v>
      </c>
      <c r="I37" t="s">
        <v>185</v>
      </c>
      <c r="K37" t="s">
        <v>177</v>
      </c>
    </row>
    <row r="38" spans="1:14" x14ac:dyDescent="0.35">
      <c r="A38" t="s">
        <v>186</v>
      </c>
      <c r="B38" t="s">
        <v>82</v>
      </c>
      <c r="C38" t="s">
        <v>189</v>
      </c>
      <c r="D38" t="s">
        <v>190</v>
      </c>
      <c r="E38" t="s">
        <v>187</v>
      </c>
      <c r="F38" t="s">
        <v>188</v>
      </c>
      <c r="I38" t="s">
        <v>190</v>
      </c>
      <c r="K38" t="s">
        <v>188</v>
      </c>
    </row>
    <row r="39" spans="1:14" x14ac:dyDescent="0.35">
      <c r="A39" t="s">
        <v>191</v>
      </c>
      <c r="B39" t="s">
        <v>82</v>
      </c>
      <c r="C39" t="s">
        <v>192</v>
      </c>
      <c r="D39" t="s">
        <v>193</v>
      </c>
      <c r="E39" t="s">
        <v>187</v>
      </c>
      <c r="F39" t="s">
        <v>188</v>
      </c>
      <c r="I39" t="s">
        <v>193</v>
      </c>
      <c r="K39" t="s">
        <v>188</v>
      </c>
      <c r="N39" t="s">
        <v>2499</v>
      </c>
    </row>
    <row r="40" spans="1:14" x14ac:dyDescent="0.35">
      <c r="A40" t="s">
        <v>194</v>
      </c>
      <c r="B40" t="s">
        <v>82</v>
      </c>
      <c r="C40" t="s">
        <v>195</v>
      </c>
      <c r="D40" t="s">
        <v>196</v>
      </c>
      <c r="E40" t="s">
        <v>187</v>
      </c>
      <c r="F40" t="s">
        <v>188</v>
      </c>
      <c r="I40" t="s">
        <v>196</v>
      </c>
      <c r="K40" t="s">
        <v>188</v>
      </c>
    </row>
    <row r="41" spans="1:14" x14ac:dyDescent="0.35">
      <c r="A41" t="s">
        <v>197</v>
      </c>
      <c r="B41" t="s">
        <v>82</v>
      </c>
      <c r="C41" t="s">
        <v>200</v>
      </c>
      <c r="D41" t="s">
        <v>201</v>
      </c>
      <c r="E41" t="s">
        <v>198</v>
      </c>
      <c r="F41" t="s">
        <v>199</v>
      </c>
      <c r="I41" t="s">
        <v>201</v>
      </c>
      <c r="K41" t="s">
        <v>199</v>
      </c>
      <c r="N41" t="s">
        <v>2499</v>
      </c>
    </row>
    <row r="42" spans="1:14" x14ac:dyDescent="0.35">
      <c r="A42" t="s">
        <v>202</v>
      </c>
      <c r="B42" t="s">
        <v>82</v>
      </c>
      <c r="C42" t="s">
        <v>203</v>
      </c>
      <c r="D42" t="s">
        <v>204</v>
      </c>
      <c r="E42" t="s">
        <v>198</v>
      </c>
      <c r="F42" t="s">
        <v>199</v>
      </c>
      <c r="I42" t="s">
        <v>204</v>
      </c>
      <c r="K42" t="s">
        <v>199</v>
      </c>
    </row>
    <row r="43" spans="1:14" x14ac:dyDescent="0.35">
      <c r="A43" t="s">
        <v>205</v>
      </c>
      <c r="B43" t="s">
        <v>82</v>
      </c>
      <c r="C43" t="s">
        <v>208</v>
      </c>
      <c r="D43" t="s">
        <v>209</v>
      </c>
      <c r="E43" t="s">
        <v>206</v>
      </c>
      <c r="F43" t="s">
        <v>207</v>
      </c>
      <c r="I43" t="s">
        <v>209</v>
      </c>
      <c r="K43" t="s">
        <v>207</v>
      </c>
    </row>
    <row r="44" spans="1:14" x14ac:dyDescent="0.35">
      <c r="A44" t="s">
        <v>210</v>
      </c>
      <c r="B44" t="s">
        <v>82</v>
      </c>
      <c r="C44" t="s">
        <v>211</v>
      </c>
      <c r="D44" t="s">
        <v>212</v>
      </c>
      <c r="E44" t="s">
        <v>206</v>
      </c>
      <c r="F44" t="s">
        <v>207</v>
      </c>
      <c r="I44" t="s">
        <v>212</v>
      </c>
      <c r="K44" t="s">
        <v>207</v>
      </c>
      <c r="N44" t="s">
        <v>2499</v>
      </c>
    </row>
    <row r="45" spans="1:14" x14ac:dyDescent="0.35">
      <c r="A45" t="s">
        <v>213</v>
      </c>
      <c r="B45" t="s">
        <v>82</v>
      </c>
      <c r="C45" t="s">
        <v>214</v>
      </c>
      <c r="D45" t="s">
        <v>215</v>
      </c>
      <c r="E45" t="s">
        <v>206</v>
      </c>
      <c r="F45" t="s">
        <v>207</v>
      </c>
      <c r="I45" t="s">
        <v>215</v>
      </c>
      <c r="K45" t="s">
        <v>207</v>
      </c>
    </row>
    <row r="46" spans="1:14" x14ac:dyDescent="0.35">
      <c r="A46" t="s">
        <v>216</v>
      </c>
      <c r="B46" t="s">
        <v>82</v>
      </c>
      <c r="C46" t="s">
        <v>219</v>
      </c>
      <c r="D46" t="s">
        <v>220</v>
      </c>
      <c r="E46" t="s">
        <v>217</v>
      </c>
      <c r="F46" t="s">
        <v>218</v>
      </c>
      <c r="I46" t="s">
        <v>220</v>
      </c>
      <c r="K46" t="s">
        <v>218</v>
      </c>
    </row>
    <row r="47" spans="1:14" x14ac:dyDescent="0.35">
      <c r="A47" t="s">
        <v>221</v>
      </c>
      <c r="B47" t="s">
        <v>82</v>
      </c>
      <c r="C47" t="s">
        <v>222</v>
      </c>
      <c r="D47" t="s">
        <v>223</v>
      </c>
      <c r="E47" t="s">
        <v>217</v>
      </c>
      <c r="F47" t="s">
        <v>218</v>
      </c>
      <c r="I47" t="s">
        <v>223</v>
      </c>
      <c r="K47" t="s">
        <v>218</v>
      </c>
    </row>
    <row r="48" spans="1:14" x14ac:dyDescent="0.35">
      <c r="A48" t="s">
        <v>224</v>
      </c>
      <c r="B48" t="s">
        <v>82</v>
      </c>
      <c r="C48" t="s">
        <v>225</v>
      </c>
      <c r="D48" t="s">
        <v>226</v>
      </c>
      <c r="E48" t="s">
        <v>217</v>
      </c>
      <c r="F48" t="s">
        <v>218</v>
      </c>
      <c r="I48" t="s">
        <v>226</v>
      </c>
      <c r="K48" t="s">
        <v>218</v>
      </c>
    </row>
    <row r="49" spans="1:14" x14ac:dyDescent="0.35">
      <c r="A49" t="s">
        <v>227</v>
      </c>
      <c r="B49" t="s">
        <v>82</v>
      </c>
      <c r="C49" t="s">
        <v>230</v>
      </c>
      <c r="D49" t="s">
        <v>231</v>
      </c>
      <c r="E49" t="s">
        <v>228</v>
      </c>
      <c r="F49" t="s">
        <v>229</v>
      </c>
      <c r="I49" t="s">
        <v>231</v>
      </c>
      <c r="K49" t="s">
        <v>229</v>
      </c>
      <c r="N49" t="s">
        <v>2499</v>
      </c>
    </row>
    <row r="50" spans="1:14" x14ac:dyDescent="0.35">
      <c r="A50" t="s">
        <v>232</v>
      </c>
      <c r="B50" t="s">
        <v>82</v>
      </c>
      <c r="C50" t="s">
        <v>233</v>
      </c>
      <c r="D50" t="s">
        <v>67</v>
      </c>
      <c r="E50" t="s">
        <v>228</v>
      </c>
      <c r="F50" t="s">
        <v>229</v>
      </c>
      <c r="I50" t="s">
        <v>68</v>
      </c>
      <c r="K50" t="s">
        <v>229</v>
      </c>
      <c r="M50" t="s">
        <v>2410</v>
      </c>
      <c r="N50" t="s">
        <v>2499</v>
      </c>
    </row>
    <row r="51" spans="1:14" x14ac:dyDescent="0.35">
      <c r="I51" t="s">
        <v>50</v>
      </c>
      <c r="K51" t="s">
        <v>229</v>
      </c>
      <c r="L51" t="s">
        <v>2410</v>
      </c>
      <c r="N51" t="s">
        <v>2417</v>
      </c>
    </row>
    <row r="52" spans="1:14" x14ac:dyDescent="0.35">
      <c r="A52" t="s">
        <v>234</v>
      </c>
      <c r="B52" t="s">
        <v>82</v>
      </c>
      <c r="C52" t="s">
        <v>237</v>
      </c>
      <c r="D52" t="s">
        <v>238</v>
      </c>
      <c r="E52" t="s">
        <v>235</v>
      </c>
      <c r="F52" t="s">
        <v>236</v>
      </c>
      <c r="I52" t="s">
        <v>238</v>
      </c>
      <c r="K52" t="s">
        <v>236</v>
      </c>
      <c r="N52" t="s">
        <v>2499</v>
      </c>
    </row>
    <row r="53" spans="1:14" x14ac:dyDescent="0.35">
      <c r="A53" t="s">
        <v>239</v>
      </c>
      <c r="B53" t="s">
        <v>82</v>
      </c>
      <c r="C53" t="s">
        <v>240</v>
      </c>
      <c r="D53" t="s">
        <v>69</v>
      </c>
      <c r="E53" t="s">
        <v>235</v>
      </c>
      <c r="F53" t="s">
        <v>236</v>
      </c>
      <c r="I53" t="s">
        <v>70</v>
      </c>
      <c r="K53" t="s">
        <v>236</v>
      </c>
      <c r="M53" t="s">
        <v>2410</v>
      </c>
      <c r="N53" t="s">
        <v>2499</v>
      </c>
    </row>
    <row r="54" spans="1:14" x14ac:dyDescent="0.35">
      <c r="A54" t="s">
        <v>241</v>
      </c>
      <c r="B54" t="s">
        <v>82</v>
      </c>
      <c r="C54" t="s">
        <v>244</v>
      </c>
      <c r="D54" t="s">
        <v>245</v>
      </c>
      <c r="E54" t="s">
        <v>242</v>
      </c>
      <c r="F54" t="s">
        <v>243</v>
      </c>
      <c r="I54" t="s">
        <v>245</v>
      </c>
      <c r="K54" t="s">
        <v>243</v>
      </c>
      <c r="N54" t="s">
        <v>2499</v>
      </c>
    </row>
    <row r="55" spans="1:14" x14ac:dyDescent="0.35">
      <c r="A55" t="s">
        <v>246</v>
      </c>
      <c r="B55" t="s">
        <v>82</v>
      </c>
      <c r="C55" t="s">
        <v>247</v>
      </c>
      <c r="D55" t="s">
        <v>248</v>
      </c>
      <c r="E55" t="s">
        <v>242</v>
      </c>
      <c r="F55" t="s">
        <v>243</v>
      </c>
      <c r="I55" t="s">
        <v>248</v>
      </c>
      <c r="K55" t="s">
        <v>243</v>
      </c>
      <c r="N55" t="s">
        <v>2499</v>
      </c>
    </row>
    <row r="56" spans="1:14" x14ac:dyDescent="0.35">
      <c r="A56" t="s">
        <v>249</v>
      </c>
      <c r="B56" t="s">
        <v>82</v>
      </c>
      <c r="C56" t="s">
        <v>252</v>
      </c>
      <c r="D56" t="s">
        <v>253</v>
      </c>
      <c r="E56" t="s">
        <v>250</v>
      </c>
      <c r="F56" t="s">
        <v>251</v>
      </c>
      <c r="I56" t="s">
        <v>253</v>
      </c>
      <c r="K56" t="s">
        <v>251</v>
      </c>
    </row>
    <row r="57" spans="1:14" x14ac:dyDescent="0.35">
      <c r="A57" t="s">
        <v>254</v>
      </c>
      <c r="B57" t="s">
        <v>82</v>
      </c>
      <c r="C57" t="s">
        <v>255</v>
      </c>
      <c r="D57" t="s">
        <v>256</v>
      </c>
      <c r="E57" t="s">
        <v>250</v>
      </c>
      <c r="F57" t="s">
        <v>251</v>
      </c>
      <c r="I57" t="s">
        <v>256</v>
      </c>
      <c r="K57" t="s">
        <v>251</v>
      </c>
    </row>
    <row r="58" spans="1:14" x14ac:dyDescent="0.35">
      <c r="A58" t="s">
        <v>257</v>
      </c>
      <c r="B58" t="s">
        <v>82</v>
      </c>
      <c r="C58" t="s">
        <v>260</v>
      </c>
      <c r="D58" t="s">
        <v>261</v>
      </c>
      <c r="E58" t="s">
        <v>258</v>
      </c>
      <c r="F58" t="s">
        <v>259</v>
      </c>
      <c r="I58" t="s">
        <v>261</v>
      </c>
      <c r="K58" t="s">
        <v>259</v>
      </c>
    </row>
    <row r="59" spans="1:14" x14ac:dyDescent="0.35">
      <c r="A59" t="s">
        <v>262</v>
      </c>
      <c r="B59" t="s">
        <v>82</v>
      </c>
      <c r="C59" t="s">
        <v>263</v>
      </c>
      <c r="D59" t="s">
        <v>264</v>
      </c>
      <c r="E59" t="s">
        <v>258</v>
      </c>
      <c r="F59" t="s">
        <v>259</v>
      </c>
      <c r="I59" t="s">
        <v>264</v>
      </c>
      <c r="K59" t="s">
        <v>259</v>
      </c>
    </row>
    <row r="60" spans="1:14" x14ac:dyDescent="0.35">
      <c r="A60" t="s">
        <v>265</v>
      </c>
      <c r="B60" t="s">
        <v>82</v>
      </c>
      <c r="C60" t="s">
        <v>268</v>
      </c>
      <c r="D60" t="s">
        <v>269</v>
      </c>
      <c r="E60" t="s">
        <v>266</v>
      </c>
      <c r="F60" t="s">
        <v>267</v>
      </c>
      <c r="I60" t="s">
        <v>269</v>
      </c>
      <c r="K60" t="s">
        <v>267</v>
      </c>
      <c r="N60" t="s">
        <v>2499</v>
      </c>
    </row>
    <row r="61" spans="1:14" x14ac:dyDescent="0.35">
      <c r="A61" t="s">
        <v>270</v>
      </c>
      <c r="B61" t="s">
        <v>82</v>
      </c>
      <c r="C61" t="s">
        <v>271</v>
      </c>
      <c r="D61" t="s">
        <v>272</v>
      </c>
      <c r="E61" t="s">
        <v>266</v>
      </c>
      <c r="F61" t="s">
        <v>267</v>
      </c>
      <c r="I61" t="s">
        <v>272</v>
      </c>
      <c r="K61" t="s">
        <v>267</v>
      </c>
      <c r="N61" t="s">
        <v>2499</v>
      </c>
    </row>
    <row r="62" spans="1:14" x14ac:dyDescent="0.35">
      <c r="I62" t="s">
        <v>51</v>
      </c>
      <c r="K62" t="s">
        <v>267</v>
      </c>
      <c r="L62" t="s">
        <v>2410</v>
      </c>
      <c r="N62" t="s">
        <v>2419</v>
      </c>
    </row>
    <row r="63" spans="1:14" x14ac:dyDescent="0.35">
      <c r="A63" t="s">
        <v>273</v>
      </c>
      <c r="B63" t="s">
        <v>82</v>
      </c>
      <c r="C63" t="s">
        <v>276</v>
      </c>
      <c r="D63" t="s">
        <v>71</v>
      </c>
      <c r="E63" t="s">
        <v>274</v>
      </c>
      <c r="F63" t="s">
        <v>275</v>
      </c>
      <c r="I63" t="s">
        <v>72</v>
      </c>
      <c r="K63" t="s">
        <v>275</v>
      </c>
      <c r="M63" t="s">
        <v>2410</v>
      </c>
      <c r="N63" t="s">
        <v>2499</v>
      </c>
    </row>
    <row r="64" spans="1:14" x14ac:dyDescent="0.35">
      <c r="A64" t="s">
        <v>277</v>
      </c>
      <c r="B64" t="s">
        <v>82</v>
      </c>
      <c r="C64" t="s">
        <v>278</v>
      </c>
      <c r="D64" t="s">
        <v>279</v>
      </c>
      <c r="E64" t="s">
        <v>274</v>
      </c>
      <c r="F64" t="s">
        <v>275</v>
      </c>
      <c r="I64" t="s">
        <v>279</v>
      </c>
      <c r="K64" t="s">
        <v>275</v>
      </c>
      <c r="N64" t="s">
        <v>2499</v>
      </c>
    </row>
    <row r="65" spans="1:14" x14ac:dyDescent="0.35">
      <c r="A65" t="s">
        <v>280</v>
      </c>
      <c r="B65" t="s">
        <v>82</v>
      </c>
      <c r="C65" t="s">
        <v>281</v>
      </c>
      <c r="D65" t="s">
        <v>282</v>
      </c>
      <c r="E65" t="s">
        <v>274</v>
      </c>
      <c r="F65" t="s">
        <v>275</v>
      </c>
      <c r="I65" t="s">
        <v>282</v>
      </c>
      <c r="K65" t="s">
        <v>275</v>
      </c>
      <c r="N65" t="s">
        <v>2499</v>
      </c>
    </row>
    <row r="66" spans="1:14" x14ac:dyDescent="0.35">
      <c r="I66" t="s">
        <v>52</v>
      </c>
      <c r="K66" t="s">
        <v>275</v>
      </c>
      <c r="L66" t="s">
        <v>2410</v>
      </c>
      <c r="N66" t="s">
        <v>2413</v>
      </c>
    </row>
    <row r="67" spans="1:14" x14ac:dyDescent="0.35">
      <c r="I67" t="s">
        <v>53</v>
      </c>
      <c r="K67" t="s">
        <v>275</v>
      </c>
      <c r="L67" t="s">
        <v>2410</v>
      </c>
      <c r="N67" t="s">
        <v>2420</v>
      </c>
    </row>
    <row r="68" spans="1:14" x14ac:dyDescent="0.35">
      <c r="A68" t="s">
        <v>283</v>
      </c>
      <c r="B68" t="s">
        <v>82</v>
      </c>
      <c r="C68" t="s">
        <v>286</v>
      </c>
      <c r="D68" t="s">
        <v>287</v>
      </c>
      <c r="E68" t="s">
        <v>284</v>
      </c>
      <c r="F68" t="s">
        <v>285</v>
      </c>
      <c r="I68" t="s">
        <v>287</v>
      </c>
      <c r="K68" t="s">
        <v>285</v>
      </c>
      <c r="N68" t="s">
        <v>2499</v>
      </c>
    </row>
    <row r="69" spans="1:14" x14ac:dyDescent="0.35">
      <c r="A69" t="s">
        <v>288</v>
      </c>
      <c r="B69" t="s">
        <v>82</v>
      </c>
      <c r="C69" t="s">
        <v>289</v>
      </c>
      <c r="D69" t="s">
        <v>290</v>
      </c>
      <c r="E69" t="s">
        <v>284</v>
      </c>
      <c r="F69" t="s">
        <v>285</v>
      </c>
      <c r="I69" t="s">
        <v>290</v>
      </c>
      <c r="K69" t="s">
        <v>285</v>
      </c>
      <c r="N69" t="s">
        <v>2499</v>
      </c>
    </row>
    <row r="70" spans="1:14" x14ac:dyDescent="0.35">
      <c r="A70" t="s">
        <v>291</v>
      </c>
      <c r="B70" t="s">
        <v>82</v>
      </c>
      <c r="C70" t="s">
        <v>292</v>
      </c>
      <c r="D70" t="s">
        <v>293</v>
      </c>
      <c r="E70" t="s">
        <v>284</v>
      </c>
      <c r="F70" t="s">
        <v>285</v>
      </c>
      <c r="I70" t="s">
        <v>293</v>
      </c>
      <c r="K70" t="s">
        <v>285</v>
      </c>
    </row>
    <row r="71" spans="1:14" x14ac:dyDescent="0.35">
      <c r="I71" t="s">
        <v>54</v>
      </c>
      <c r="K71" t="s">
        <v>285</v>
      </c>
      <c r="L71" t="s">
        <v>2410</v>
      </c>
      <c r="N71" t="s">
        <v>2421</v>
      </c>
    </row>
    <row r="72" spans="1:14" x14ac:dyDescent="0.35">
      <c r="A72" t="s">
        <v>294</v>
      </c>
      <c r="B72" t="s">
        <v>82</v>
      </c>
      <c r="C72" t="s">
        <v>297</v>
      </c>
      <c r="D72" t="s">
        <v>298</v>
      </c>
      <c r="E72" t="s">
        <v>295</v>
      </c>
      <c r="F72" t="s">
        <v>296</v>
      </c>
      <c r="I72" t="s">
        <v>298</v>
      </c>
      <c r="K72" t="s">
        <v>296</v>
      </c>
      <c r="N72" t="s">
        <v>2499</v>
      </c>
    </row>
    <row r="73" spans="1:14" x14ac:dyDescent="0.35">
      <c r="A73" t="s">
        <v>299</v>
      </c>
      <c r="B73" t="s">
        <v>82</v>
      </c>
      <c r="C73" t="s">
        <v>300</v>
      </c>
      <c r="D73" t="s">
        <v>301</v>
      </c>
      <c r="E73" t="s">
        <v>295</v>
      </c>
      <c r="F73" t="s">
        <v>296</v>
      </c>
      <c r="I73" t="s">
        <v>301</v>
      </c>
      <c r="K73" t="s">
        <v>296</v>
      </c>
      <c r="N73" t="s">
        <v>2499</v>
      </c>
    </row>
    <row r="74" spans="1:14" x14ac:dyDescent="0.35">
      <c r="I74" t="s">
        <v>55</v>
      </c>
      <c r="K74" t="s">
        <v>296</v>
      </c>
      <c r="L74" t="s">
        <v>2410</v>
      </c>
      <c r="N74" t="s">
        <v>2418</v>
      </c>
    </row>
    <row r="75" spans="1:14" x14ac:dyDescent="0.35">
      <c r="A75" t="s">
        <v>302</v>
      </c>
      <c r="B75" t="s">
        <v>82</v>
      </c>
      <c r="C75" t="s">
        <v>305</v>
      </c>
      <c r="D75" t="s">
        <v>306</v>
      </c>
      <c r="E75" t="s">
        <v>303</v>
      </c>
      <c r="F75" t="s">
        <v>304</v>
      </c>
      <c r="I75" t="s">
        <v>306</v>
      </c>
      <c r="K75" t="s">
        <v>304</v>
      </c>
      <c r="N75" t="s">
        <v>2499</v>
      </c>
    </row>
    <row r="76" spans="1:14" x14ac:dyDescent="0.35">
      <c r="A76" t="s">
        <v>307</v>
      </c>
      <c r="B76" t="s">
        <v>82</v>
      </c>
      <c r="C76" t="s">
        <v>308</v>
      </c>
      <c r="D76" t="s">
        <v>309</v>
      </c>
      <c r="E76" t="s">
        <v>303</v>
      </c>
      <c r="F76" t="s">
        <v>304</v>
      </c>
      <c r="I76" t="s">
        <v>309</v>
      </c>
      <c r="K76" t="s">
        <v>304</v>
      </c>
    </row>
    <row r="77" spans="1:14" x14ac:dyDescent="0.35">
      <c r="A77" t="s">
        <v>310</v>
      </c>
      <c r="B77" t="s">
        <v>82</v>
      </c>
      <c r="C77" t="s">
        <v>311</v>
      </c>
      <c r="D77" t="s">
        <v>312</v>
      </c>
      <c r="E77" t="s">
        <v>303</v>
      </c>
      <c r="F77" t="s">
        <v>304</v>
      </c>
      <c r="I77" t="s">
        <v>312</v>
      </c>
      <c r="K77" t="s">
        <v>304</v>
      </c>
      <c r="N77" t="s">
        <v>2499</v>
      </c>
    </row>
    <row r="78" spans="1:14" x14ac:dyDescent="0.35">
      <c r="I78" t="s">
        <v>56</v>
      </c>
      <c r="K78" t="s">
        <v>304</v>
      </c>
      <c r="L78" t="s">
        <v>2410</v>
      </c>
      <c r="N78" t="s">
        <v>2422</v>
      </c>
    </row>
    <row r="79" spans="1:14" x14ac:dyDescent="0.35">
      <c r="A79" t="s">
        <v>313</v>
      </c>
      <c r="B79" t="s">
        <v>82</v>
      </c>
      <c r="C79" t="s">
        <v>316</v>
      </c>
      <c r="D79" t="s">
        <v>317</v>
      </c>
      <c r="E79" t="s">
        <v>314</v>
      </c>
      <c r="F79" t="s">
        <v>315</v>
      </c>
      <c r="I79" t="s">
        <v>317</v>
      </c>
      <c r="K79" t="s">
        <v>315</v>
      </c>
    </row>
    <row r="80" spans="1:14" x14ac:dyDescent="0.35">
      <c r="A80" t="s">
        <v>318</v>
      </c>
      <c r="B80" t="s">
        <v>82</v>
      </c>
      <c r="C80" t="s">
        <v>319</v>
      </c>
      <c r="D80" t="s">
        <v>320</v>
      </c>
      <c r="E80" t="s">
        <v>314</v>
      </c>
      <c r="F80" t="s">
        <v>315</v>
      </c>
      <c r="I80" t="s">
        <v>320</v>
      </c>
      <c r="K80" t="s">
        <v>315</v>
      </c>
    </row>
    <row r="81" spans="1:14" x14ac:dyDescent="0.35">
      <c r="A81" t="s">
        <v>321</v>
      </c>
      <c r="B81" t="s">
        <v>82</v>
      </c>
      <c r="C81" t="s">
        <v>322</v>
      </c>
      <c r="D81" t="s">
        <v>323</v>
      </c>
      <c r="E81" t="s">
        <v>314</v>
      </c>
      <c r="F81" t="s">
        <v>315</v>
      </c>
      <c r="I81" t="s">
        <v>323</v>
      </c>
      <c r="K81" t="s">
        <v>315</v>
      </c>
      <c r="N81" t="s">
        <v>2499</v>
      </c>
    </row>
    <row r="82" spans="1:14" x14ac:dyDescent="0.35">
      <c r="A82" t="s">
        <v>324</v>
      </c>
      <c r="B82" t="s">
        <v>82</v>
      </c>
      <c r="C82" t="s">
        <v>327</v>
      </c>
      <c r="D82" t="s">
        <v>75</v>
      </c>
      <c r="E82" t="s">
        <v>325</v>
      </c>
      <c r="F82" t="s">
        <v>326</v>
      </c>
      <c r="I82" t="s">
        <v>76</v>
      </c>
      <c r="K82" t="s">
        <v>326</v>
      </c>
      <c r="M82" t="s">
        <v>2410</v>
      </c>
    </row>
    <row r="83" spans="1:14" x14ac:dyDescent="0.35">
      <c r="A83" t="s">
        <v>328</v>
      </c>
      <c r="B83" t="s">
        <v>82</v>
      </c>
      <c r="C83" t="s">
        <v>329</v>
      </c>
      <c r="D83" t="s">
        <v>330</v>
      </c>
      <c r="E83" t="s">
        <v>325</v>
      </c>
      <c r="F83" t="s">
        <v>326</v>
      </c>
      <c r="I83" t="s">
        <v>330</v>
      </c>
      <c r="K83" t="s">
        <v>326</v>
      </c>
    </row>
    <row r="84" spans="1:14" x14ac:dyDescent="0.35">
      <c r="A84" t="s">
        <v>331</v>
      </c>
      <c r="B84" t="s">
        <v>82</v>
      </c>
      <c r="C84" t="s">
        <v>332</v>
      </c>
      <c r="D84" t="s">
        <v>333</v>
      </c>
      <c r="E84" t="s">
        <v>325</v>
      </c>
      <c r="F84" t="s">
        <v>326</v>
      </c>
      <c r="I84" t="s">
        <v>333</v>
      </c>
      <c r="K84" t="s">
        <v>326</v>
      </c>
      <c r="N84" t="s">
        <v>2499</v>
      </c>
    </row>
    <row r="85" spans="1:14" x14ac:dyDescent="0.35">
      <c r="A85" t="s">
        <v>334</v>
      </c>
      <c r="B85" t="s">
        <v>82</v>
      </c>
      <c r="C85" t="s">
        <v>335</v>
      </c>
      <c r="D85" t="s">
        <v>336</v>
      </c>
      <c r="E85" t="s">
        <v>325</v>
      </c>
      <c r="F85" t="s">
        <v>326</v>
      </c>
      <c r="I85" t="s">
        <v>336</v>
      </c>
      <c r="K85" t="s">
        <v>326</v>
      </c>
    </row>
    <row r="86" spans="1:14" x14ac:dyDescent="0.35">
      <c r="A86" t="s">
        <v>337</v>
      </c>
      <c r="B86" t="s">
        <v>82</v>
      </c>
      <c r="C86" t="s">
        <v>340</v>
      </c>
      <c r="D86" t="s">
        <v>341</v>
      </c>
      <c r="E86" t="s">
        <v>338</v>
      </c>
      <c r="F86" t="s">
        <v>339</v>
      </c>
      <c r="I86" t="s">
        <v>341</v>
      </c>
      <c r="K86" t="s">
        <v>339</v>
      </c>
      <c r="N86" t="s">
        <v>2499</v>
      </c>
    </row>
    <row r="87" spans="1:14" x14ac:dyDescent="0.35">
      <c r="A87" t="s">
        <v>342</v>
      </c>
      <c r="B87" t="s">
        <v>82</v>
      </c>
      <c r="C87" t="s">
        <v>343</v>
      </c>
      <c r="D87" t="s">
        <v>73</v>
      </c>
      <c r="E87" t="s">
        <v>338</v>
      </c>
      <c r="F87" t="s">
        <v>339</v>
      </c>
      <c r="I87" t="s">
        <v>74</v>
      </c>
      <c r="K87" t="s">
        <v>339</v>
      </c>
      <c r="M87" t="s">
        <v>2410</v>
      </c>
      <c r="N87" t="s">
        <v>2499</v>
      </c>
    </row>
    <row r="88" spans="1:14" x14ac:dyDescent="0.35">
      <c r="I88" t="s">
        <v>57</v>
      </c>
      <c r="K88" t="s">
        <v>339</v>
      </c>
      <c r="L88" t="s">
        <v>2410</v>
      </c>
      <c r="N88" t="s">
        <v>2409</v>
      </c>
    </row>
    <row r="89" spans="1:14" x14ac:dyDescent="0.35">
      <c r="A89" t="s">
        <v>344</v>
      </c>
      <c r="B89" t="s">
        <v>82</v>
      </c>
      <c r="C89" t="s">
        <v>347</v>
      </c>
      <c r="D89" t="s">
        <v>348</v>
      </c>
      <c r="E89" t="s">
        <v>345</v>
      </c>
      <c r="F89" t="s">
        <v>346</v>
      </c>
      <c r="I89" t="s">
        <v>348</v>
      </c>
      <c r="K89" t="s">
        <v>346</v>
      </c>
      <c r="N89" t="s">
        <v>2499</v>
      </c>
    </row>
    <row r="90" spans="1:14" x14ac:dyDescent="0.35">
      <c r="A90" t="s">
        <v>349</v>
      </c>
      <c r="B90" t="s">
        <v>82</v>
      </c>
      <c r="C90" t="s">
        <v>350</v>
      </c>
      <c r="D90" t="s">
        <v>351</v>
      </c>
      <c r="E90" t="s">
        <v>345</v>
      </c>
      <c r="F90" t="s">
        <v>346</v>
      </c>
      <c r="I90" t="s">
        <v>351</v>
      </c>
      <c r="K90" t="s">
        <v>346</v>
      </c>
      <c r="N90" t="s">
        <v>2499</v>
      </c>
    </row>
    <row r="91" spans="1:14" x14ac:dyDescent="0.35">
      <c r="A91" t="s">
        <v>352</v>
      </c>
      <c r="B91" t="s">
        <v>82</v>
      </c>
      <c r="C91" t="s">
        <v>353</v>
      </c>
      <c r="D91" t="s">
        <v>77</v>
      </c>
      <c r="E91" t="s">
        <v>345</v>
      </c>
      <c r="F91" t="s">
        <v>346</v>
      </c>
      <c r="I91" t="s">
        <v>78</v>
      </c>
      <c r="K91" t="s">
        <v>346</v>
      </c>
      <c r="M91" t="s">
        <v>2410</v>
      </c>
      <c r="N91" t="s">
        <v>2499</v>
      </c>
    </row>
    <row r="92" spans="1:14" x14ac:dyDescent="0.35">
      <c r="I92" t="s">
        <v>58</v>
      </c>
      <c r="K92" t="s">
        <v>346</v>
      </c>
      <c r="L92" t="s">
        <v>2410</v>
      </c>
      <c r="N92" t="s">
        <v>2423</v>
      </c>
    </row>
    <row r="93" spans="1:14" x14ac:dyDescent="0.35">
      <c r="I93" t="s">
        <v>59</v>
      </c>
      <c r="K93" t="s">
        <v>346</v>
      </c>
      <c r="L93" t="s">
        <v>2410</v>
      </c>
      <c r="N93" t="s">
        <v>2424</v>
      </c>
    </row>
    <row r="94" spans="1:14" x14ac:dyDescent="0.35">
      <c r="A94" t="s">
        <v>354</v>
      </c>
      <c r="B94" t="s">
        <v>82</v>
      </c>
      <c r="C94" t="s">
        <v>357</v>
      </c>
      <c r="D94" t="s">
        <v>358</v>
      </c>
      <c r="E94" t="s">
        <v>355</v>
      </c>
      <c r="F94" t="s">
        <v>356</v>
      </c>
      <c r="I94" t="s">
        <v>358</v>
      </c>
      <c r="K94" t="s">
        <v>356</v>
      </c>
      <c r="N94" t="s">
        <v>2499</v>
      </c>
    </row>
    <row r="95" spans="1:14" x14ac:dyDescent="0.35">
      <c r="A95" t="s">
        <v>359</v>
      </c>
      <c r="B95" t="s">
        <v>82</v>
      </c>
      <c r="C95" t="s">
        <v>360</v>
      </c>
      <c r="D95" t="s">
        <v>361</v>
      </c>
      <c r="E95" t="s">
        <v>355</v>
      </c>
      <c r="F95" t="s">
        <v>356</v>
      </c>
      <c r="I95" t="s">
        <v>361</v>
      </c>
      <c r="K95" t="s">
        <v>356</v>
      </c>
      <c r="N95" t="s">
        <v>2499</v>
      </c>
    </row>
    <row r="96" spans="1:14" x14ac:dyDescent="0.35">
      <c r="A96" t="s">
        <v>362</v>
      </c>
      <c r="B96" t="s">
        <v>82</v>
      </c>
      <c r="C96" t="s">
        <v>363</v>
      </c>
      <c r="D96" t="s">
        <v>364</v>
      </c>
      <c r="E96" t="s">
        <v>355</v>
      </c>
      <c r="F96" t="s">
        <v>356</v>
      </c>
      <c r="I96" t="s">
        <v>364</v>
      </c>
      <c r="K96" t="s">
        <v>356</v>
      </c>
      <c r="N96" t="s">
        <v>2499</v>
      </c>
    </row>
    <row r="97" spans="1:14" x14ac:dyDescent="0.35">
      <c r="I97" t="s">
        <v>60</v>
      </c>
      <c r="K97" t="s">
        <v>356</v>
      </c>
      <c r="L97" t="s">
        <v>2410</v>
      </c>
      <c r="N97" t="s">
        <v>2425</v>
      </c>
    </row>
    <row r="98" spans="1:14" x14ac:dyDescent="0.35">
      <c r="A98" t="s">
        <v>365</v>
      </c>
      <c r="B98" t="s">
        <v>82</v>
      </c>
      <c r="C98" t="s">
        <v>368</v>
      </c>
      <c r="D98" t="s">
        <v>369</v>
      </c>
      <c r="E98" t="s">
        <v>366</v>
      </c>
      <c r="F98" t="s">
        <v>367</v>
      </c>
      <c r="I98" t="s">
        <v>369</v>
      </c>
      <c r="K98" t="s">
        <v>367</v>
      </c>
    </row>
    <row r="99" spans="1:14" x14ac:dyDescent="0.35">
      <c r="A99" t="s">
        <v>370</v>
      </c>
      <c r="B99" t="s">
        <v>82</v>
      </c>
      <c r="C99" t="s">
        <v>371</v>
      </c>
      <c r="D99" t="s">
        <v>372</v>
      </c>
      <c r="E99" t="s">
        <v>366</v>
      </c>
      <c r="F99" t="s">
        <v>367</v>
      </c>
      <c r="I99" t="s">
        <v>372</v>
      </c>
      <c r="K99" t="s">
        <v>367</v>
      </c>
    </row>
    <row r="100" spans="1:14" x14ac:dyDescent="0.35">
      <c r="A100" t="s">
        <v>373</v>
      </c>
      <c r="B100" t="s">
        <v>82</v>
      </c>
      <c r="C100" t="s">
        <v>376</v>
      </c>
      <c r="D100" t="s">
        <v>79</v>
      </c>
      <c r="E100" t="s">
        <v>374</v>
      </c>
      <c r="F100" t="s">
        <v>375</v>
      </c>
      <c r="I100" t="s">
        <v>80</v>
      </c>
      <c r="K100" t="s">
        <v>375</v>
      </c>
      <c r="M100" t="s">
        <v>2410</v>
      </c>
    </row>
    <row r="101" spans="1:14" x14ac:dyDescent="0.35">
      <c r="A101" t="s">
        <v>377</v>
      </c>
      <c r="B101" t="s">
        <v>82</v>
      </c>
      <c r="C101" t="s">
        <v>378</v>
      </c>
      <c r="D101" t="s">
        <v>379</v>
      </c>
      <c r="E101" t="s">
        <v>374</v>
      </c>
      <c r="F101" t="s">
        <v>375</v>
      </c>
      <c r="I101" t="s">
        <v>379</v>
      </c>
      <c r="K101" t="s">
        <v>375</v>
      </c>
    </row>
  </sheetData>
  <autoFilter ref="A1:N118" xr:uid="{B603FDEE-BF33-4F90-809B-A821C5FC3A8D}"/>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A143-88DA-4E9A-99FE-20BAEAEFB7EA}">
  <dimension ref="A1:Y33"/>
  <sheetViews>
    <sheetView workbookViewId="0">
      <pane ySplit="2" topLeftCell="A3" activePane="bottomLeft" state="frozen"/>
      <selection pane="bottomLeft"/>
    </sheetView>
  </sheetViews>
  <sheetFormatPr defaultColWidth="11.54296875" defaultRowHeight="14.5" x14ac:dyDescent="0.35"/>
  <cols>
    <col min="1" max="1" width="15" style="8" bestFit="1" customWidth="1"/>
    <col min="2" max="2" width="8.81640625" style="8" bestFit="1" customWidth="1"/>
    <col min="3" max="3" width="22.08984375" style="8" bestFit="1" customWidth="1"/>
    <col min="4" max="4" width="22" style="8" bestFit="1" customWidth="1"/>
    <col min="5" max="5" width="15.1796875" style="8" bestFit="1" customWidth="1"/>
    <col min="6" max="6" width="52.08984375" style="8" bestFit="1" customWidth="1"/>
    <col min="7" max="7" width="17.7265625" style="8" bestFit="1" customWidth="1"/>
    <col min="8" max="8" width="20.7265625" style="8" bestFit="1" customWidth="1"/>
    <col min="9" max="9" width="13.54296875" style="8" bestFit="1" customWidth="1"/>
    <col min="10" max="10" width="10.1796875" style="8" bestFit="1" customWidth="1"/>
    <col min="11" max="11" width="13.7265625" style="8" bestFit="1" customWidth="1"/>
    <col min="12" max="12" width="16.26953125" style="8" bestFit="1" customWidth="1"/>
    <col min="13" max="13" width="12.90625" style="8" bestFit="1" customWidth="1"/>
    <col min="14" max="14" width="51.36328125" style="8" bestFit="1" customWidth="1"/>
    <col min="15" max="15" width="51.26953125" style="8" bestFit="1" customWidth="1"/>
    <col min="16" max="16" width="15.1796875" style="8" bestFit="1" customWidth="1"/>
    <col min="17" max="17" width="27.26953125" style="8" bestFit="1" customWidth="1"/>
    <col min="18" max="18" width="52.08984375" style="8" bestFit="1" customWidth="1"/>
    <col min="19" max="19" width="32.7265625" style="8" bestFit="1" customWidth="1"/>
    <col min="20" max="20" width="20.7265625" style="8" bestFit="1" customWidth="1"/>
    <col min="21" max="21" width="13.54296875" style="8" bestFit="1" customWidth="1"/>
    <col min="22" max="22" width="10.1796875" style="8" bestFit="1" customWidth="1"/>
    <col min="23" max="23" width="13.7265625" style="8" bestFit="1" customWidth="1"/>
    <col min="24" max="24" width="16.26953125" style="8" bestFit="1" customWidth="1"/>
    <col min="25" max="25" width="12.90625" style="8" bestFit="1" customWidth="1"/>
    <col min="26" max="16384" width="11.54296875" style="8"/>
  </cols>
  <sheetData>
    <row r="1" spans="1:25" x14ac:dyDescent="0.35">
      <c r="A1" s="8" t="s">
        <v>394</v>
      </c>
      <c r="B1" s="8" t="s">
        <v>395</v>
      </c>
      <c r="C1" s="8" t="s">
        <v>396</v>
      </c>
      <c r="D1" s="8" t="s">
        <v>397</v>
      </c>
      <c r="E1" s="8" t="s">
        <v>2451</v>
      </c>
      <c r="F1" s="8" t="s">
        <v>2429</v>
      </c>
      <c r="G1" s="8" t="s">
        <v>2344</v>
      </c>
      <c r="H1" s="8" t="s">
        <v>400</v>
      </c>
      <c r="I1" s="8" t="s">
        <v>401</v>
      </c>
      <c r="J1" s="8" t="s">
        <v>402</v>
      </c>
      <c r="K1" s="8" t="s">
        <v>403</v>
      </c>
      <c r="L1" s="8" t="s">
        <v>404</v>
      </c>
      <c r="M1" s="8" t="s">
        <v>405</v>
      </c>
      <c r="N1" s="8" t="s">
        <v>392</v>
      </c>
      <c r="O1" s="8" t="s">
        <v>393</v>
      </c>
      <c r="P1" s="8" t="s">
        <v>2451</v>
      </c>
      <c r="Q1" s="8" t="s">
        <v>2452</v>
      </c>
      <c r="R1" s="8" t="s">
        <v>2429</v>
      </c>
      <c r="S1" s="8" t="s">
        <v>2344</v>
      </c>
      <c r="T1" s="8" t="s">
        <v>400</v>
      </c>
      <c r="U1" s="8" t="s">
        <v>401</v>
      </c>
      <c r="V1" s="8" t="s">
        <v>402</v>
      </c>
      <c r="W1" s="8" t="s">
        <v>403</v>
      </c>
      <c r="X1" s="8" t="s">
        <v>404</v>
      </c>
      <c r="Y1" s="8" t="s">
        <v>405</v>
      </c>
    </row>
    <row r="2" spans="1:25" s="41" customFormat="1" x14ac:dyDescent="0.35">
      <c r="A2" s="41" t="s">
        <v>2437</v>
      </c>
      <c r="B2" s="41" t="s">
        <v>2438</v>
      </c>
      <c r="C2" s="41" t="s">
        <v>2426</v>
      </c>
      <c r="D2" s="41" t="s">
        <v>2427</v>
      </c>
      <c r="E2" s="41" t="s">
        <v>2428</v>
      </c>
      <c r="F2" s="41" t="s">
        <v>2430</v>
      </c>
      <c r="G2" s="41" t="s">
        <v>2439</v>
      </c>
      <c r="H2" s="41" t="s">
        <v>2431</v>
      </c>
      <c r="I2" s="41" t="s">
        <v>2432</v>
      </c>
      <c r="J2" s="41" t="s">
        <v>402</v>
      </c>
      <c r="K2" s="41" t="s">
        <v>403</v>
      </c>
      <c r="L2" s="41" t="s">
        <v>404</v>
      </c>
      <c r="M2" s="41" t="s">
        <v>2433</v>
      </c>
      <c r="N2" s="41" t="s">
        <v>2483</v>
      </c>
      <c r="O2" s="41" t="s">
        <v>2484</v>
      </c>
      <c r="P2" s="41" t="s">
        <v>2428</v>
      </c>
      <c r="Q2" s="41" t="s">
        <v>2436</v>
      </c>
      <c r="R2" s="41" t="s">
        <v>2430</v>
      </c>
      <c r="S2" s="41" t="s">
        <v>2439</v>
      </c>
      <c r="T2" s="41" t="s">
        <v>2431</v>
      </c>
      <c r="U2" s="41" t="s">
        <v>2432</v>
      </c>
      <c r="V2" s="41" t="s">
        <v>402</v>
      </c>
      <c r="W2" s="41" t="s">
        <v>403</v>
      </c>
      <c r="X2" s="41" t="s">
        <v>404</v>
      </c>
      <c r="Y2" s="41" t="s">
        <v>2433</v>
      </c>
    </row>
    <row r="3" spans="1:25" x14ac:dyDescent="0.35">
      <c r="A3" t="str">
        <f>C3</f>
        <v>P.192</v>
      </c>
      <c r="B3" t="s">
        <v>82</v>
      </c>
      <c r="C3" t="s">
        <v>83</v>
      </c>
      <c r="D3" t="s">
        <v>84</v>
      </c>
      <c r="E3" s="8">
        <v>48777</v>
      </c>
      <c r="F3" s="10">
        <f>(E3/(2008347/31))*100</f>
        <v>75.290126656399508</v>
      </c>
      <c r="G3" s="10" t="s">
        <v>2</v>
      </c>
      <c r="H3" s="9">
        <v>5.6</v>
      </c>
      <c r="I3" s="9">
        <v>16.7</v>
      </c>
      <c r="J3" s="9">
        <v>6.7</v>
      </c>
      <c r="K3" s="9">
        <v>69.2</v>
      </c>
      <c r="L3" s="9">
        <v>0.8</v>
      </c>
      <c r="M3" s="9">
        <f>100-SUM(H3:L3)</f>
        <v>1</v>
      </c>
      <c r="N3" t="s">
        <v>83</v>
      </c>
      <c r="O3" t="s">
        <v>84</v>
      </c>
      <c r="P3" s="8">
        <v>65959</v>
      </c>
      <c r="Q3" s="8">
        <f>P3-E3</f>
        <v>17182</v>
      </c>
      <c r="R3" s="10">
        <f>(P3/(2008347/31))*100</f>
        <v>101.81153953973092</v>
      </c>
      <c r="S3" s="10" t="s">
        <v>2</v>
      </c>
      <c r="T3" s="8">
        <v>5.5</v>
      </c>
      <c r="U3" s="8">
        <v>17.399999999999999</v>
      </c>
      <c r="V3" s="8">
        <v>5.8</v>
      </c>
      <c r="W3" s="8">
        <v>69.599999999999994</v>
      </c>
      <c r="X3" s="8">
        <v>0.8</v>
      </c>
      <c r="Y3" s="8">
        <f>100-SUM(T3:X3)</f>
        <v>0.90000000000000568</v>
      </c>
    </row>
    <row r="4" spans="1:25" s="34" customFormat="1" ht="29" x14ac:dyDescent="0.35">
      <c r="A4" s="27" t="str">
        <f t="shared" ref="A4:A33" si="0">C4</f>
        <v>P.193</v>
      </c>
      <c r="B4" s="27" t="s">
        <v>82</v>
      </c>
      <c r="C4" s="27" t="s">
        <v>89</v>
      </c>
      <c r="D4" s="27" t="s">
        <v>90</v>
      </c>
      <c r="E4" s="34">
        <v>83222</v>
      </c>
      <c r="F4" s="35">
        <f t="shared" ref="F4:F33" si="1">(E4/(2008347/31))*100</f>
        <v>128.45798061789122</v>
      </c>
      <c r="G4" s="35" t="s">
        <v>2442</v>
      </c>
      <c r="H4" s="36">
        <v>79.7</v>
      </c>
      <c r="I4" s="36">
        <v>7.7</v>
      </c>
      <c r="J4" s="36">
        <v>7.3</v>
      </c>
      <c r="K4" s="36">
        <v>3.9</v>
      </c>
      <c r="L4" s="36">
        <v>0.6</v>
      </c>
      <c r="M4" s="36">
        <f t="shared" ref="M4:M33" si="2">100-SUM(H4:L4)</f>
        <v>0.79999999999999716</v>
      </c>
      <c r="N4" s="27" t="s">
        <v>89</v>
      </c>
      <c r="O4" s="27" t="s">
        <v>90</v>
      </c>
      <c r="P4" s="34">
        <v>83222</v>
      </c>
      <c r="Q4" s="34">
        <f>P4-E4</f>
        <v>0</v>
      </c>
      <c r="R4" s="35">
        <f t="shared" ref="R4:R33" si="3">(P4/(2008347/31))*100</f>
        <v>128.45798061789122</v>
      </c>
      <c r="S4" s="35" t="s">
        <v>2442</v>
      </c>
      <c r="T4" s="34">
        <v>79.7</v>
      </c>
      <c r="U4" s="34">
        <v>7.7</v>
      </c>
      <c r="V4" s="34">
        <v>7.3</v>
      </c>
      <c r="W4" s="34">
        <v>3.9</v>
      </c>
      <c r="X4" s="34">
        <v>0.6</v>
      </c>
      <c r="Y4" s="34">
        <f t="shared" ref="Y4:Y5" si="4">100-SUM(T4:X4)</f>
        <v>0.79999999999999716</v>
      </c>
    </row>
    <row r="5" spans="1:25" ht="29" x14ac:dyDescent="0.35">
      <c r="A5" t="str">
        <f t="shared" si="0"/>
        <v>P.194</v>
      </c>
      <c r="B5" t="s">
        <v>82</v>
      </c>
      <c r="C5" t="s">
        <v>100</v>
      </c>
      <c r="D5" t="s">
        <v>101</v>
      </c>
      <c r="E5" s="8">
        <v>114173</v>
      </c>
      <c r="F5" s="10">
        <f t="shared" si="1"/>
        <v>176.23264306417167</v>
      </c>
      <c r="G5" s="35" t="s">
        <v>2442</v>
      </c>
      <c r="H5" s="9">
        <v>72.2</v>
      </c>
      <c r="I5" s="9">
        <v>13.1</v>
      </c>
      <c r="J5" s="9">
        <v>7.8</v>
      </c>
      <c r="K5" s="9">
        <v>4.8</v>
      </c>
      <c r="L5" s="9">
        <v>0.8</v>
      </c>
      <c r="M5" s="9">
        <f t="shared" si="2"/>
        <v>1.3000000000000114</v>
      </c>
      <c r="N5" t="s">
        <v>100</v>
      </c>
      <c r="O5" t="s">
        <v>101</v>
      </c>
      <c r="P5" s="8">
        <v>113172</v>
      </c>
      <c r="Q5" s="8">
        <f>P5-E5</f>
        <v>-1001</v>
      </c>
      <c r="R5" s="10">
        <f t="shared" si="3"/>
        <v>174.68754154536043</v>
      </c>
      <c r="S5" s="35" t="s">
        <v>2442</v>
      </c>
      <c r="T5" s="8">
        <v>72.7</v>
      </c>
      <c r="U5" s="8">
        <v>13.2</v>
      </c>
      <c r="V5" s="8">
        <v>7.8</v>
      </c>
      <c r="W5" s="8">
        <v>4.3</v>
      </c>
      <c r="X5" s="8">
        <v>0.8</v>
      </c>
      <c r="Y5" s="8">
        <f t="shared" si="4"/>
        <v>1.2000000000000028</v>
      </c>
    </row>
    <row r="6" spans="1:25" x14ac:dyDescent="0.35">
      <c r="A6" t="str">
        <f t="shared" si="0"/>
        <v>P.195</v>
      </c>
      <c r="B6" t="s">
        <v>82</v>
      </c>
      <c r="C6" t="s">
        <v>111</v>
      </c>
      <c r="D6" t="s">
        <v>112</v>
      </c>
      <c r="F6" s="10">
        <f t="shared" si="1"/>
        <v>0</v>
      </c>
      <c r="G6" s="10"/>
      <c r="H6" s="9"/>
      <c r="I6" s="9"/>
      <c r="J6" s="9"/>
      <c r="K6" s="9"/>
      <c r="L6" s="9"/>
      <c r="M6" s="9"/>
      <c r="N6" t="s">
        <v>111</v>
      </c>
      <c r="O6" t="s">
        <v>112</v>
      </c>
      <c r="R6" s="10">
        <f t="shared" si="3"/>
        <v>0</v>
      </c>
      <c r="S6" s="10"/>
      <c r="T6" s="9"/>
      <c r="U6" s="9"/>
      <c r="V6" s="9"/>
      <c r="W6" s="9"/>
      <c r="X6" s="9"/>
      <c r="Y6" s="9"/>
    </row>
    <row r="7" spans="1:25" x14ac:dyDescent="0.35">
      <c r="A7" t="str">
        <f t="shared" si="0"/>
        <v>P.196</v>
      </c>
      <c r="B7" t="s">
        <v>82</v>
      </c>
      <c r="C7" t="s">
        <v>122</v>
      </c>
      <c r="D7" t="s">
        <v>123</v>
      </c>
      <c r="E7" s="8">
        <v>125929</v>
      </c>
      <c r="F7" s="10">
        <f t="shared" si="1"/>
        <v>194.37871045192887</v>
      </c>
      <c r="G7" s="10" t="s">
        <v>2440</v>
      </c>
      <c r="H7" s="9">
        <v>15.3</v>
      </c>
      <c r="I7" s="9">
        <v>61.2</v>
      </c>
      <c r="J7" s="9">
        <v>11</v>
      </c>
      <c r="K7" s="9">
        <v>10.3</v>
      </c>
      <c r="L7" s="9">
        <v>0.8</v>
      </c>
      <c r="M7" s="9">
        <f t="shared" si="2"/>
        <v>1.4000000000000057</v>
      </c>
      <c r="N7" t="s">
        <v>122</v>
      </c>
      <c r="O7" t="s">
        <v>123</v>
      </c>
      <c r="P7" s="8">
        <v>125901</v>
      </c>
      <c r="Q7" s="8">
        <f>P7-E7</f>
        <v>-28</v>
      </c>
      <c r="R7" s="10">
        <f t="shared" si="3"/>
        <v>194.33549082902505</v>
      </c>
      <c r="S7" s="10" t="s">
        <v>2440</v>
      </c>
      <c r="T7" s="8">
        <v>15.3</v>
      </c>
      <c r="U7" s="8">
        <v>61.6</v>
      </c>
      <c r="V7" s="8">
        <v>11</v>
      </c>
      <c r="W7" s="8">
        <v>10.3</v>
      </c>
      <c r="X7" s="8">
        <v>0.8</v>
      </c>
      <c r="Y7" s="8">
        <f>100-SUM(T7:X7)</f>
        <v>1</v>
      </c>
    </row>
    <row r="8" spans="1:25" x14ac:dyDescent="0.35">
      <c r="A8" t="str">
        <f t="shared" si="0"/>
        <v>P.197</v>
      </c>
      <c r="B8" t="s">
        <v>82</v>
      </c>
      <c r="C8" t="s">
        <v>133</v>
      </c>
      <c r="D8" t="s">
        <v>134</v>
      </c>
      <c r="F8" s="10">
        <f t="shared" si="1"/>
        <v>0</v>
      </c>
      <c r="G8" s="10"/>
      <c r="H8" s="9"/>
      <c r="I8" s="9"/>
      <c r="J8" s="9"/>
      <c r="K8" s="9"/>
      <c r="L8" s="9"/>
      <c r="M8" s="9"/>
      <c r="N8" t="s">
        <v>133</v>
      </c>
      <c r="O8" t="s">
        <v>134</v>
      </c>
      <c r="Q8" s="8">
        <f>P8-E8</f>
        <v>0</v>
      </c>
      <c r="R8" s="10">
        <f t="shared" si="3"/>
        <v>0</v>
      </c>
      <c r="S8" s="35" t="s">
        <v>2442</v>
      </c>
      <c r="T8" s="8">
        <v>93.2</v>
      </c>
      <c r="U8" s="8">
        <v>2.2999999999999998</v>
      </c>
      <c r="V8" s="8">
        <v>1.9</v>
      </c>
      <c r="W8" s="8">
        <v>1.5</v>
      </c>
      <c r="X8" s="8">
        <v>0.6</v>
      </c>
      <c r="Y8" s="8">
        <f>100-SUM(T8:X8)</f>
        <v>0.5</v>
      </c>
    </row>
    <row r="9" spans="1:25" x14ac:dyDescent="0.35">
      <c r="A9" t="str">
        <f t="shared" si="0"/>
        <v>P.198</v>
      </c>
      <c r="B9" t="s">
        <v>82</v>
      </c>
      <c r="C9" t="s">
        <v>144</v>
      </c>
      <c r="D9" t="s">
        <v>145</v>
      </c>
      <c r="E9" s="8">
        <v>82411</v>
      </c>
      <c r="F9" s="10">
        <f t="shared" si="1"/>
        <v>127.20615511164155</v>
      </c>
      <c r="G9" s="10" t="s">
        <v>2</v>
      </c>
      <c r="H9" s="9">
        <v>5.0999999999999996</v>
      </c>
      <c r="I9" s="9">
        <v>24.6</v>
      </c>
      <c r="J9" s="9">
        <v>6.3</v>
      </c>
      <c r="K9" s="9">
        <v>62.3</v>
      </c>
      <c r="L9" s="9">
        <v>0.7</v>
      </c>
      <c r="M9" s="9">
        <f t="shared" si="2"/>
        <v>1</v>
      </c>
      <c r="N9" t="s">
        <v>144</v>
      </c>
      <c r="O9" t="s">
        <v>145</v>
      </c>
      <c r="P9" s="8">
        <v>68382</v>
      </c>
      <c r="Q9" s="8">
        <f>P9-E9</f>
        <v>-14029</v>
      </c>
      <c r="R9" s="10">
        <f t="shared" si="3"/>
        <v>105.55158047887143</v>
      </c>
      <c r="S9" s="10" t="s">
        <v>2</v>
      </c>
      <c r="T9" s="8">
        <v>4.9000000000000004</v>
      </c>
      <c r="U9" s="8">
        <v>24.9</v>
      </c>
      <c r="V9" s="8">
        <v>7.1</v>
      </c>
      <c r="W9" s="8">
        <v>61.5</v>
      </c>
      <c r="X9" s="8">
        <v>0.7</v>
      </c>
      <c r="Y9" s="8">
        <v>0.8</v>
      </c>
    </row>
    <row r="10" spans="1:25" x14ac:dyDescent="0.35">
      <c r="A10" t="str">
        <f t="shared" si="0"/>
        <v>P.199</v>
      </c>
      <c r="B10" t="s">
        <v>82</v>
      </c>
      <c r="C10" t="s">
        <v>154</v>
      </c>
      <c r="D10" t="s">
        <v>155</v>
      </c>
      <c r="F10" s="10">
        <f t="shared" si="1"/>
        <v>0</v>
      </c>
      <c r="G10" s="10"/>
      <c r="H10" s="9"/>
      <c r="I10" s="9"/>
      <c r="J10" s="9"/>
      <c r="K10" s="9"/>
      <c r="L10" s="9"/>
      <c r="M10" s="9"/>
      <c r="N10" t="s">
        <v>154</v>
      </c>
      <c r="O10" t="s">
        <v>155</v>
      </c>
      <c r="R10" s="10"/>
      <c r="S10" s="10"/>
    </row>
    <row r="11" spans="1:25" x14ac:dyDescent="0.35">
      <c r="A11" t="str">
        <f t="shared" si="0"/>
        <v>P.200</v>
      </c>
      <c r="B11" t="s">
        <v>82</v>
      </c>
      <c r="C11" t="s">
        <v>165</v>
      </c>
      <c r="D11" t="s">
        <v>166</v>
      </c>
      <c r="F11" s="10">
        <f t="shared" si="1"/>
        <v>0</v>
      </c>
      <c r="G11" s="10"/>
      <c r="H11" s="9"/>
      <c r="I11" s="9"/>
      <c r="J11" s="9"/>
      <c r="K11" s="9"/>
      <c r="L11" s="9"/>
      <c r="M11" s="9"/>
      <c r="N11" t="s">
        <v>165</v>
      </c>
      <c r="O11" t="s">
        <v>166</v>
      </c>
      <c r="R11" s="10"/>
      <c r="S11" s="10"/>
    </row>
    <row r="12" spans="1:25" x14ac:dyDescent="0.35">
      <c r="A12" t="str">
        <f t="shared" si="0"/>
        <v>P.201</v>
      </c>
      <c r="B12" t="s">
        <v>82</v>
      </c>
      <c r="C12" t="s">
        <v>176</v>
      </c>
      <c r="D12" t="s">
        <v>177</v>
      </c>
      <c r="F12" s="10">
        <f t="shared" si="1"/>
        <v>0</v>
      </c>
      <c r="G12" s="10"/>
      <c r="H12" s="9"/>
      <c r="I12" s="9"/>
      <c r="J12" s="9"/>
      <c r="K12" s="9"/>
      <c r="L12" s="9"/>
      <c r="M12" s="9"/>
      <c r="N12" t="s">
        <v>176</v>
      </c>
      <c r="O12" t="s">
        <v>177</v>
      </c>
      <c r="R12" s="10"/>
      <c r="S12" s="10"/>
    </row>
    <row r="13" spans="1:25" x14ac:dyDescent="0.35">
      <c r="A13" t="str">
        <f t="shared" si="0"/>
        <v>P.202</v>
      </c>
      <c r="B13" t="s">
        <v>82</v>
      </c>
      <c r="C13" t="s">
        <v>187</v>
      </c>
      <c r="D13" t="s">
        <v>188</v>
      </c>
      <c r="F13" s="10">
        <f t="shared" si="1"/>
        <v>0</v>
      </c>
      <c r="G13" s="10"/>
      <c r="H13" s="9"/>
      <c r="I13" s="9"/>
      <c r="J13" s="9"/>
      <c r="K13" s="9"/>
      <c r="L13" s="9"/>
      <c r="M13" s="9"/>
      <c r="N13" t="s">
        <v>187</v>
      </c>
      <c r="O13" t="s">
        <v>188</v>
      </c>
      <c r="R13" s="10"/>
      <c r="S13" s="10"/>
    </row>
    <row r="14" spans="1:25" x14ac:dyDescent="0.35">
      <c r="A14" t="str">
        <f t="shared" si="0"/>
        <v>P.203</v>
      </c>
      <c r="B14" t="s">
        <v>82</v>
      </c>
      <c r="C14" t="s">
        <v>198</v>
      </c>
      <c r="D14" t="s">
        <v>199</v>
      </c>
      <c r="F14" s="10">
        <f t="shared" si="1"/>
        <v>0</v>
      </c>
      <c r="G14" s="10"/>
      <c r="H14" s="9"/>
      <c r="I14" s="9"/>
      <c r="J14" s="9"/>
      <c r="K14" s="9"/>
      <c r="L14" s="9"/>
      <c r="M14" s="9"/>
      <c r="N14" t="s">
        <v>198</v>
      </c>
      <c r="O14" t="s">
        <v>199</v>
      </c>
      <c r="R14" s="10"/>
      <c r="S14" s="10"/>
    </row>
    <row r="15" spans="1:25" x14ac:dyDescent="0.35">
      <c r="A15" t="str">
        <f t="shared" si="0"/>
        <v>P.204</v>
      </c>
      <c r="B15" t="s">
        <v>82</v>
      </c>
      <c r="C15" t="s">
        <v>206</v>
      </c>
      <c r="D15" t="s">
        <v>207</v>
      </c>
      <c r="F15" s="10">
        <f t="shared" si="1"/>
        <v>0</v>
      </c>
      <c r="G15" s="10"/>
      <c r="M15" s="9"/>
      <c r="N15" t="s">
        <v>206</v>
      </c>
      <c r="O15" t="s">
        <v>207</v>
      </c>
      <c r="R15" s="10">
        <f t="shared" si="3"/>
        <v>0</v>
      </c>
      <c r="S15" s="10"/>
    </row>
    <row r="16" spans="1:25" x14ac:dyDescent="0.35">
      <c r="A16" t="str">
        <f t="shared" si="0"/>
        <v>P.205</v>
      </c>
      <c r="B16" t="s">
        <v>82</v>
      </c>
      <c r="C16" t="s">
        <v>217</v>
      </c>
      <c r="D16" t="s">
        <v>218</v>
      </c>
      <c r="F16" s="10">
        <f t="shared" si="1"/>
        <v>0</v>
      </c>
      <c r="G16" s="10"/>
      <c r="M16" s="9"/>
      <c r="N16" t="s">
        <v>217</v>
      </c>
      <c r="O16" t="s">
        <v>218</v>
      </c>
      <c r="R16" s="10">
        <f t="shared" si="3"/>
        <v>0</v>
      </c>
      <c r="S16" s="10"/>
    </row>
    <row r="17" spans="1:25" ht="29" x14ac:dyDescent="0.35">
      <c r="A17" t="str">
        <f t="shared" si="0"/>
        <v>P.206</v>
      </c>
      <c r="B17" t="s">
        <v>82</v>
      </c>
      <c r="C17" t="s">
        <v>228</v>
      </c>
      <c r="D17" t="s">
        <v>229</v>
      </c>
      <c r="E17" s="8">
        <v>33780</v>
      </c>
      <c r="F17" s="10">
        <f t="shared" si="1"/>
        <v>52.141387917526203</v>
      </c>
      <c r="G17" s="35" t="s">
        <v>2442</v>
      </c>
      <c r="H17" s="8">
        <v>68.3</v>
      </c>
      <c r="I17" s="8">
        <v>6</v>
      </c>
      <c r="J17" s="8">
        <v>23.6</v>
      </c>
      <c r="K17" s="8">
        <v>0.3</v>
      </c>
      <c r="L17" s="8">
        <v>0.8</v>
      </c>
      <c r="M17" s="9">
        <f t="shared" si="2"/>
        <v>1</v>
      </c>
      <c r="N17" t="s">
        <v>228</v>
      </c>
      <c r="O17" t="s">
        <v>229</v>
      </c>
      <c r="P17" s="8">
        <v>35487</v>
      </c>
      <c r="Q17" s="8">
        <f>P17-E17</f>
        <v>1707</v>
      </c>
      <c r="R17" s="10">
        <f t="shared" si="3"/>
        <v>54.776241356697817</v>
      </c>
      <c r="S17" s="35" t="s">
        <v>2442</v>
      </c>
      <c r="T17" s="8">
        <v>66.599999999999994</v>
      </c>
      <c r="U17" s="8">
        <v>5.9</v>
      </c>
      <c r="V17" s="8">
        <v>25.4</v>
      </c>
      <c r="W17" s="8">
        <v>0.3</v>
      </c>
      <c r="X17" s="8">
        <v>0.8</v>
      </c>
      <c r="Y17" s="8">
        <f>100-SUM(T17:X17)</f>
        <v>1</v>
      </c>
    </row>
    <row r="18" spans="1:25" x14ac:dyDescent="0.35">
      <c r="A18" t="str">
        <f t="shared" si="0"/>
        <v>P.207</v>
      </c>
      <c r="B18" t="s">
        <v>82</v>
      </c>
      <c r="C18" t="s">
        <v>235</v>
      </c>
      <c r="D18" t="s">
        <v>236</v>
      </c>
      <c r="F18" s="10">
        <f t="shared" si="1"/>
        <v>0</v>
      </c>
      <c r="G18" s="10"/>
      <c r="H18" s="9"/>
      <c r="I18" s="9"/>
      <c r="J18" s="9"/>
      <c r="K18" s="9"/>
      <c r="L18" s="9"/>
      <c r="M18" s="9"/>
      <c r="N18" t="s">
        <v>235</v>
      </c>
      <c r="O18" t="s">
        <v>236</v>
      </c>
      <c r="R18" s="10"/>
      <c r="S18" s="10"/>
    </row>
    <row r="19" spans="1:25" x14ac:dyDescent="0.35">
      <c r="A19" t="str">
        <f t="shared" si="0"/>
        <v>P.208</v>
      </c>
      <c r="B19" t="s">
        <v>82</v>
      </c>
      <c r="C19" t="s">
        <v>242</v>
      </c>
      <c r="D19" t="s">
        <v>243</v>
      </c>
      <c r="F19" s="10">
        <f t="shared" si="1"/>
        <v>0</v>
      </c>
      <c r="G19" s="10"/>
      <c r="H19" s="9"/>
      <c r="I19" s="9"/>
      <c r="J19" s="9"/>
      <c r="K19" s="9"/>
      <c r="L19" s="9"/>
      <c r="M19" s="9"/>
      <c r="N19" t="s">
        <v>242</v>
      </c>
      <c r="O19" t="s">
        <v>243</v>
      </c>
      <c r="R19" s="10"/>
      <c r="S19" s="10"/>
    </row>
    <row r="20" spans="1:25" x14ac:dyDescent="0.35">
      <c r="A20" t="str">
        <f t="shared" si="0"/>
        <v>P.209</v>
      </c>
      <c r="B20" t="s">
        <v>82</v>
      </c>
      <c r="C20" t="s">
        <v>250</v>
      </c>
      <c r="D20" t="s">
        <v>251</v>
      </c>
      <c r="F20" s="10">
        <f t="shared" si="1"/>
        <v>0</v>
      </c>
      <c r="G20" s="10"/>
      <c r="H20" s="9"/>
      <c r="I20" s="9"/>
      <c r="J20" s="9"/>
      <c r="K20" s="9"/>
      <c r="L20" s="9"/>
      <c r="M20" s="9"/>
      <c r="N20" t="s">
        <v>250</v>
      </c>
      <c r="O20" t="s">
        <v>251</v>
      </c>
      <c r="R20" s="10"/>
      <c r="S20" s="10"/>
    </row>
    <row r="21" spans="1:25" x14ac:dyDescent="0.35">
      <c r="A21" t="str">
        <f t="shared" si="0"/>
        <v>P.210</v>
      </c>
      <c r="B21" t="s">
        <v>82</v>
      </c>
      <c r="C21" t="s">
        <v>258</v>
      </c>
      <c r="D21" t="s">
        <v>259</v>
      </c>
      <c r="F21" s="10">
        <f t="shared" si="1"/>
        <v>0</v>
      </c>
      <c r="G21" s="10"/>
      <c r="H21" s="9"/>
      <c r="I21" s="9"/>
      <c r="J21" s="9"/>
      <c r="K21" s="9"/>
      <c r="L21" s="9"/>
      <c r="M21" s="9">
        <f t="shared" si="2"/>
        <v>100</v>
      </c>
      <c r="N21" t="s">
        <v>258</v>
      </c>
      <c r="O21" t="s">
        <v>259</v>
      </c>
      <c r="R21" s="10"/>
      <c r="S21" s="10"/>
    </row>
    <row r="22" spans="1:25" x14ac:dyDescent="0.35">
      <c r="A22" t="str">
        <f t="shared" si="0"/>
        <v>P.211</v>
      </c>
      <c r="B22" t="s">
        <v>82</v>
      </c>
      <c r="C22" t="s">
        <v>266</v>
      </c>
      <c r="D22" t="s">
        <v>267</v>
      </c>
      <c r="E22" s="8">
        <v>90161</v>
      </c>
      <c r="F22" s="10">
        <f t="shared" si="1"/>
        <v>139.16872930823209</v>
      </c>
      <c r="G22" s="10" t="s">
        <v>2440</v>
      </c>
      <c r="H22" s="8">
        <v>8.9</v>
      </c>
      <c r="I22" s="8">
        <v>64.3</v>
      </c>
      <c r="J22" s="8">
        <v>25.3</v>
      </c>
      <c r="K22" s="8">
        <v>0.6</v>
      </c>
      <c r="L22" s="8">
        <v>0.8</v>
      </c>
      <c r="M22" s="9">
        <f t="shared" si="2"/>
        <v>0.10000000000000853</v>
      </c>
      <c r="N22" t="s">
        <v>266</v>
      </c>
      <c r="O22" t="s">
        <v>267</v>
      </c>
      <c r="P22" s="8">
        <v>85901</v>
      </c>
      <c r="Q22" s="8">
        <f>P22-E22</f>
        <v>-4260</v>
      </c>
      <c r="R22" s="10">
        <f t="shared" si="3"/>
        <v>132.59317239500942</v>
      </c>
      <c r="S22" s="10" t="s">
        <v>2440</v>
      </c>
      <c r="T22" s="8">
        <v>6.2</v>
      </c>
      <c r="U22" s="8">
        <v>66.2</v>
      </c>
      <c r="V22" s="8">
        <v>25.3</v>
      </c>
      <c r="W22" s="8">
        <v>0.6</v>
      </c>
      <c r="X22" s="8">
        <v>0.8</v>
      </c>
      <c r="Y22" s="8">
        <f>100-SUM(T22:X22)</f>
        <v>0.90000000000000568</v>
      </c>
    </row>
    <row r="23" spans="1:25" x14ac:dyDescent="0.35">
      <c r="A23" t="str">
        <f t="shared" si="0"/>
        <v>P.212</v>
      </c>
      <c r="B23" t="s">
        <v>82</v>
      </c>
      <c r="C23" t="s">
        <v>274</v>
      </c>
      <c r="D23" t="s">
        <v>275</v>
      </c>
      <c r="E23" s="8">
        <v>109286</v>
      </c>
      <c r="F23" s="10">
        <f t="shared" si="1"/>
        <v>168.6892753094958</v>
      </c>
      <c r="G23" s="10" t="s">
        <v>2440</v>
      </c>
      <c r="H23" s="8">
        <v>17.899999999999999</v>
      </c>
      <c r="I23" s="8">
        <v>61.5</v>
      </c>
      <c r="J23" s="8">
        <v>18.3</v>
      </c>
      <c r="K23" s="8">
        <v>0.7</v>
      </c>
      <c r="L23" s="8">
        <v>0.8</v>
      </c>
      <c r="M23" s="9">
        <f t="shared" si="2"/>
        <v>0.79999999999999716</v>
      </c>
      <c r="N23" t="s">
        <v>274</v>
      </c>
      <c r="O23" t="s">
        <v>275</v>
      </c>
      <c r="P23" s="8">
        <v>113546</v>
      </c>
      <c r="Q23" s="8">
        <f>P23-E23</f>
        <v>4260</v>
      </c>
      <c r="R23" s="10">
        <f t="shared" si="3"/>
        <v>175.26483222271847</v>
      </c>
      <c r="S23" s="10" t="s">
        <v>2440</v>
      </c>
      <c r="T23" s="8">
        <v>19.600000000000001</v>
      </c>
      <c r="U23" s="8">
        <v>59.7</v>
      </c>
      <c r="V23" s="8">
        <v>18.399999999999999</v>
      </c>
      <c r="W23" s="8">
        <v>0.7</v>
      </c>
      <c r="X23" s="8">
        <v>0.8</v>
      </c>
      <c r="Y23" s="8">
        <f>100-SUM(T23:X23)</f>
        <v>0.79999999999998295</v>
      </c>
    </row>
    <row r="24" spans="1:25" ht="29" x14ac:dyDescent="0.35">
      <c r="A24" t="str">
        <f t="shared" si="0"/>
        <v>P.213</v>
      </c>
      <c r="B24" t="s">
        <v>82</v>
      </c>
      <c r="C24" t="s">
        <v>284</v>
      </c>
      <c r="D24" t="s">
        <v>285</v>
      </c>
      <c r="E24" s="8">
        <v>48344</v>
      </c>
      <c r="F24" s="10">
        <f t="shared" si="1"/>
        <v>74.621766059351287</v>
      </c>
      <c r="G24" s="35" t="s">
        <v>2442</v>
      </c>
      <c r="H24" s="8">
        <v>68.7</v>
      </c>
      <c r="I24" s="8">
        <v>9.6999999999999993</v>
      </c>
      <c r="J24" s="8">
        <v>19.600000000000001</v>
      </c>
      <c r="K24" s="8">
        <v>0.4</v>
      </c>
      <c r="L24" s="8">
        <v>0.7</v>
      </c>
      <c r="M24" s="9">
        <f t="shared" si="2"/>
        <v>0.89999999999999147</v>
      </c>
      <c r="N24" t="s">
        <v>284</v>
      </c>
      <c r="O24" t="s">
        <v>285</v>
      </c>
      <c r="P24" s="8">
        <v>51059</v>
      </c>
      <c r="Q24" s="8">
        <f>P24-E24</f>
        <v>2715</v>
      </c>
      <c r="R24" s="10">
        <f t="shared" si="3"/>
        <v>78.812525923060107</v>
      </c>
      <c r="S24" s="35" t="s">
        <v>2442</v>
      </c>
      <c r="T24" s="8">
        <v>69.7</v>
      </c>
      <c r="U24" s="8">
        <v>9.3000000000000007</v>
      </c>
      <c r="V24" s="8">
        <v>19.2</v>
      </c>
      <c r="W24" s="8">
        <v>0.3</v>
      </c>
      <c r="X24" s="8">
        <v>0.7</v>
      </c>
      <c r="Y24" s="8">
        <f>100-SUM(T24:X24)</f>
        <v>0.79999999999999716</v>
      </c>
    </row>
    <row r="25" spans="1:25" x14ac:dyDescent="0.35">
      <c r="A25" t="str">
        <f t="shared" si="0"/>
        <v>P.214</v>
      </c>
      <c r="B25" t="s">
        <v>82</v>
      </c>
      <c r="C25" t="s">
        <v>295</v>
      </c>
      <c r="D25" t="s">
        <v>296</v>
      </c>
      <c r="E25" s="8">
        <v>47731</v>
      </c>
      <c r="F25" s="10">
        <f t="shared" si="1"/>
        <v>73.675565029349997</v>
      </c>
      <c r="G25" s="10" t="s">
        <v>0</v>
      </c>
      <c r="H25" s="9">
        <v>2.8</v>
      </c>
      <c r="I25" s="9">
        <v>3.7</v>
      </c>
      <c r="J25" s="9">
        <v>86.9</v>
      </c>
      <c r="K25" s="9">
        <v>0.5</v>
      </c>
      <c r="L25" s="9">
        <v>5.2</v>
      </c>
      <c r="M25" s="9">
        <f t="shared" si="2"/>
        <v>0.89999999999999147</v>
      </c>
      <c r="N25" t="s">
        <v>295</v>
      </c>
      <c r="O25" t="s">
        <v>296</v>
      </c>
      <c r="P25" s="8">
        <v>47728</v>
      </c>
      <c r="Q25" s="8">
        <f>P25-E25</f>
        <v>-3</v>
      </c>
      <c r="R25" s="10">
        <f t="shared" si="3"/>
        <v>73.670934355467452</v>
      </c>
      <c r="S25" s="10" t="s">
        <v>0</v>
      </c>
      <c r="T25" s="8">
        <v>2.8</v>
      </c>
      <c r="U25" s="8">
        <v>3.7</v>
      </c>
      <c r="V25" s="8">
        <v>86.9</v>
      </c>
      <c r="W25" s="8">
        <v>0.5</v>
      </c>
      <c r="X25" s="8">
        <v>5.2</v>
      </c>
      <c r="Y25" s="8">
        <f>100-SUM(T25:X25)</f>
        <v>0.89999999999999147</v>
      </c>
    </row>
    <row r="26" spans="1:25" x14ac:dyDescent="0.35">
      <c r="A26" t="str">
        <f t="shared" si="0"/>
        <v>P.215</v>
      </c>
      <c r="B26" t="s">
        <v>82</v>
      </c>
      <c r="C26" t="s">
        <v>303</v>
      </c>
      <c r="D26" t="s">
        <v>304</v>
      </c>
      <c r="E26" s="8">
        <v>46642</v>
      </c>
      <c r="F26" s="10">
        <f t="shared" si="1"/>
        <v>71.994630409983927</v>
      </c>
      <c r="G26" s="10" t="s">
        <v>0</v>
      </c>
      <c r="H26" s="9">
        <v>3.3</v>
      </c>
      <c r="I26" s="9">
        <v>8.6</v>
      </c>
      <c r="J26" s="9">
        <v>84.6</v>
      </c>
      <c r="K26" s="9">
        <v>0.4</v>
      </c>
      <c r="L26" s="9">
        <v>2.2999999999999998</v>
      </c>
      <c r="M26" s="9">
        <f t="shared" si="2"/>
        <v>0.79999999999999716</v>
      </c>
      <c r="N26" t="s">
        <v>303</v>
      </c>
      <c r="O26" t="s">
        <v>304</v>
      </c>
      <c r="P26" s="8">
        <v>49866</v>
      </c>
      <c r="Q26" s="8">
        <f>P26-E26</f>
        <v>3224</v>
      </c>
      <c r="R26" s="10">
        <f t="shared" si="3"/>
        <v>76.971061275765578</v>
      </c>
      <c r="S26" s="10" t="s">
        <v>0</v>
      </c>
      <c r="T26" s="8">
        <v>3.1</v>
      </c>
      <c r="U26" s="8">
        <v>8.1</v>
      </c>
      <c r="V26" s="8">
        <v>84.4</v>
      </c>
      <c r="W26" s="8">
        <v>0.4</v>
      </c>
      <c r="X26" s="8">
        <v>3.2</v>
      </c>
      <c r="Y26" s="8">
        <f>100-SUM(T26:X26)</f>
        <v>0.79999999999998295</v>
      </c>
    </row>
    <row r="27" spans="1:25" x14ac:dyDescent="0.35">
      <c r="A27" t="str">
        <f t="shared" si="0"/>
        <v>P.216</v>
      </c>
      <c r="B27" t="s">
        <v>82</v>
      </c>
      <c r="C27" t="s">
        <v>314</v>
      </c>
      <c r="D27" t="s">
        <v>315</v>
      </c>
      <c r="F27" s="10">
        <f t="shared" si="1"/>
        <v>0</v>
      </c>
      <c r="G27" s="10"/>
      <c r="H27" s="9"/>
      <c r="I27" s="9"/>
      <c r="J27" s="9"/>
      <c r="K27" s="9"/>
      <c r="L27" s="9"/>
      <c r="M27" s="9"/>
      <c r="N27" t="s">
        <v>314</v>
      </c>
      <c r="O27" t="s">
        <v>315</v>
      </c>
      <c r="R27" s="10"/>
      <c r="S27" s="10"/>
    </row>
    <row r="28" spans="1:25" x14ac:dyDescent="0.35">
      <c r="A28" t="str">
        <f t="shared" si="0"/>
        <v>P.217</v>
      </c>
      <c r="B28" t="s">
        <v>82</v>
      </c>
      <c r="C28" t="s">
        <v>325</v>
      </c>
      <c r="D28" t="s">
        <v>326</v>
      </c>
      <c r="F28" s="10">
        <f t="shared" si="1"/>
        <v>0</v>
      </c>
      <c r="G28" s="10"/>
      <c r="H28" s="9"/>
      <c r="I28" s="9"/>
      <c r="J28" s="9"/>
      <c r="K28" s="9"/>
      <c r="L28" s="9"/>
      <c r="M28" s="9"/>
      <c r="N28" t="s">
        <v>325</v>
      </c>
      <c r="O28" t="s">
        <v>326</v>
      </c>
      <c r="R28" s="10">
        <f t="shared" si="3"/>
        <v>0</v>
      </c>
      <c r="S28" s="10" t="s">
        <v>2</v>
      </c>
      <c r="T28" s="8">
        <v>1.5</v>
      </c>
      <c r="U28" s="8">
        <v>29.6</v>
      </c>
      <c r="V28" s="8">
        <v>4.5999999999999996</v>
      </c>
      <c r="W28" s="8">
        <v>62.8</v>
      </c>
      <c r="X28" s="8">
        <v>0.5</v>
      </c>
      <c r="Y28" s="8">
        <f>100-SUM(T28:X28)</f>
        <v>1</v>
      </c>
    </row>
    <row r="29" spans="1:25" x14ac:dyDescent="0.35">
      <c r="A29" t="str">
        <f t="shared" si="0"/>
        <v>P.218</v>
      </c>
      <c r="B29" t="s">
        <v>82</v>
      </c>
      <c r="C29" t="s">
        <v>338</v>
      </c>
      <c r="D29" t="s">
        <v>339</v>
      </c>
      <c r="E29" s="8">
        <v>60093</v>
      </c>
      <c r="F29" s="10">
        <f t="shared" si="1"/>
        <v>92.757028541382539</v>
      </c>
      <c r="G29" s="10" t="s">
        <v>2441</v>
      </c>
      <c r="H29" s="9">
        <v>31.5</v>
      </c>
      <c r="I29" s="9">
        <v>22.5</v>
      </c>
      <c r="J29" s="9">
        <v>33.5</v>
      </c>
      <c r="K29" s="9">
        <v>1.8</v>
      </c>
      <c r="L29" s="9">
        <v>8.9</v>
      </c>
      <c r="M29" s="9">
        <f t="shared" si="2"/>
        <v>1.7999999999999972</v>
      </c>
      <c r="N29" t="s">
        <v>338</v>
      </c>
      <c r="O29" t="s">
        <v>339</v>
      </c>
      <c r="P29" s="8">
        <v>39706</v>
      </c>
      <c r="Q29" s="8">
        <f>P29-E29</f>
        <v>-20387</v>
      </c>
      <c r="R29" s="10">
        <f t="shared" si="3"/>
        <v>61.288512393525622</v>
      </c>
      <c r="S29" s="10" t="s">
        <v>2441</v>
      </c>
      <c r="T29" s="8">
        <v>41.9</v>
      </c>
      <c r="U29" s="8">
        <v>20.8</v>
      </c>
      <c r="V29" s="8">
        <v>29.5</v>
      </c>
      <c r="W29" s="8">
        <v>1.3</v>
      </c>
      <c r="X29" s="8">
        <v>4.5</v>
      </c>
      <c r="Y29" s="8">
        <f>100-SUM(T29:X29)</f>
        <v>2</v>
      </c>
    </row>
    <row r="30" spans="1:25" x14ac:dyDescent="0.35">
      <c r="A30" t="str">
        <f t="shared" si="0"/>
        <v>P.219</v>
      </c>
      <c r="B30" t="s">
        <v>82</v>
      </c>
      <c r="C30" t="s">
        <v>345</v>
      </c>
      <c r="D30" t="s">
        <v>346</v>
      </c>
      <c r="E30" s="8">
        <v>148765</v>
      </c>
      <c r="F30" s="10">
        <f t="shared" si="1"/>
        <v>229.62740004590839</v>
      </c>
      <c r="G30" s="10" t="s">
        <v>2441</v>
      </c>
      <c r="H30" s="9">
        <v>22.6</v>
      </c>
      <c r="I30" s="9">
        <v>45.5</v>
      </c>
      <c r="J30" s="9">
        <v>21.7</v>
      </c>
      <c r="K30" s="9">
        <v>1.6</v>
      </c>
      <c r="L30" s="9">
        <v>6.9</v>
      </c>
      <c r="M30" s="9">
        <f t="shared" si="2"/>
        <v>1.7000000000000028</v>
      </c>
      <c r="N30" t="s">
        <v>345</v>
      </c>
      <c r="O30" t="s">
        <v>346</v>
      </c>
      <c r="P30" s="8">
        <v>164727</v>
      </c>
      <c r="Q30" s="8">
        <f>P30-E30</f>
        <v>15962</v>
      </c>
      <c r="R30" s="10">
        <f t="shared" si="3"/>
        <v>254.26567221700233</v>
      </c>
      <c r="S30" s="10" t="s">
        <v>2441</v>
      </c>
      <c r="T30" s="8">
        <v>22</v>
      </c>
      <c r="U30" s="8">
        <v>43.5</v>
      </c>
      <c r="V30" s="8">
        <v>22.8</v>
      </c>
      <c r="W30" s="8">
        <v>1.8</v>
      </c>
      <c r="X30" s="8">
        <v>1.8</v>
      </c>
      <c r="Y30" s="8">
        <f>100-SUM(T30:X30)</f>
        <v>8.1000000000000085</v>
      </c>
    </row>
    <row r="31" spans="1:25" x14ac:dyDescent="0.35">
      <c r="A31" t="str">
        <f t="shared" si="0"/>
        <v>P.220</v>
      </c>
      <c r="B31" t="s">
        <v>82</v>
      </c>
      <c r="C31" t="s">
        <v>355</v>
      </c>
      <c r="D31" t="s">
        <v>356</v>
      </c>
      <c r="E31" s="8">
        <v>61259</v>
      </c>
      <c r="F31" s="10">
        <f t="shared" si="1"/>
        <v>94.556817123734092</v>
      </c>
      <c r="G31" s="10" t="s">
        <v>3</v>
      </c>
      <c r="H31" s="9">
        <v>5</v>
      </c>
      <c r="I31" s="9">
        <v>7.2</v>
      </c>
      <c r="J31" s="9">
        <v>33.1</v>
      </c>
      <c r="K31" s="9">
        <v>0.5</v>
      </c>
      <c r="L31" s="9">
        <v>52.7</v>
      </c>
      <c r="M31" s="9">
        <f t="shared" si="2"/>
        <v>1.5</v>
      </c>
      <c r="N31" t="s">
        <v>355</v>
      </c>
      <c r="O31" t="s">
        <v>356</v>
      </c>
      <c r="P31" s="8">
        <v>62070</v>
      </c>
      <c r="Q31" s="8">
        <f>P31-E31</f>
        <v>811</v>
      </c>
      <c r="R31" s="10">
        <f t="shared" si="3"/>
        <v>95.808642629983751</v>
      </c>
      <c r="S31" s="10" t="s">
        <v>3</v>
      </c>
      <c r="T31" s="8">
        <v>4.9000000000000004</v>
      </c>
      <c r="U31" s="8">
        <v>7.1</v>
      </c>
      <c r="V31" s="8">
        <v>34</v>
      </c>
      <c r="W31" s="8">
        <v>0.5</v>
      </c>
      <c r="X31" s="8">
        <v>52.1</v>
      </c>
      <c r="Y31" s="8">
        <f>100-SUM(T31:X31)</f>
        <v>1.4000000000000057</v>
      </c>
    </row>
    <row r="32" spans="1:25" x14ac:dyDescent="0.35">
      <c r="A32" t="str">
        <f t="shared" si="0"/>
        <v>P.221</v>
      </c>
      <c r="B32" t="s">
        <v>82</v>
      </c>
      <c r="C32" t="s">
        <v>366</v>
      </c>
      <c r="D32" t="s">
        <v>367</v>
      </c>
      <c r="F32" s="10">
        <f t="shared" si="1"/>
        <v>0</v>
      </c>
      <c r="G32" s="10"/>
      <c r="M32" s="9">
        <f t="shared" si="2"/>
        <v>100</v>
      </c>
      <c r="N32" t="s">
        <v>366</v>
      </c>
      <c r="O32" t="s">
        <v>367</v>
      </c>
      <c r="R32" s="10">
        <f t="shared" si="3"/>
        <v>0</v>
      </c>
      <c r="S32" s="10"/>
    </row>
    <row r="33" spans="1:19" x14ac:dyDescent="0.35">
      <c r="A33" t="str">
        <f t="shared" si="0"/>
        <v>P.222</v>
      </c>
      <c r="B33" t="s">
        <v>82</v>
      </c>
      <c r="C33" t="s">
        <v>374</v>
      </c>
      <c r="D33" t="s">
        <v>375</v>
      </c>
      <c r="F33" s="10">
        <f t="shared" si="1"/>
        <v>0</v>
      </c>
      <c r="G33" s="10"/>
      <c r="M33" s="9">
        <f t="shared" si="2"/>
        <v>100</v>
      </c>
      <c r="N33" t="s">
        <v>374</v>
      </c>
      <c r="O33" t="s">
        <v>375</v>
      </c>
      <c r="R33" s="10">
        <f t="shared" si="3"/>
        <v>0</v>
      </c>
      <c r="S33" s="10"/>
    </row>
  </sheetData>
  <autoFilter ref="A1:Y33" xr:uid="{F8D7A143-88DA-4E9A-99FE-20BAEAEFB7EA}"/>
  <conditionalFormatting sqref="H3:H33">
    <cfRule type="dataBar" priority="17">
      <dataBar>
        <cfvo type="min"/>
        <cfvo type="max"/>
        <color rgb="FF63C384"/>
      </dataBar>
      <extLst>
        <ext xmlns:x14="http://schemas.microsoft.com/office/spreadsheetml/2009/9/main" uri="{B025F937-C7B1-47D3-B67F-A62EFF666E3E}">
          <x14:id>{CC46FBEE-67BB-4CE2-9300-82C5EF1EB857}</x14:id>
        </ext>
      </extLst>
    </cfRule>
  </conditionalFormatting>
  <conditionalFormatting sqref="I3:I33">
    <cfRule type="dataBar" priority="18">
      <dataBar>
        <cfvo type="min"/>
        <cfvo type="max"/>
        <color rgb="FFFF555A"/>
      </dataBar>
      <extLst>
        <ext xmlns:x14="http://schemas.microsoft.com/office/spreadsheetml/2009/9/main" uri="{B025F937-C7B1-47D3-B67F-A62EFF666E3E}">
          <x14:id>{B11DD75F-1C5D-4DF7-8D91-3D3013712A73}</x14:id>
        </ext>
      </extLst>
    </cfRule>
  </conditionalFormatting>
  <conditionalFormatting sqref="J3:J33">
    <cfRule type="dataBar" priority="19">
      <dataBar>
        <cfvo type="min"/>
        <cfvo type="max"/>
        <color rgb="FFFFB628"/>
      </dataBar>
      <extLst>
        <ext xmlns:x14="http://schemas.microsoft.com/office/spreadsheetml/2009/9/main" uri="{B025F937-C7B1-47D3-B67F-A62EFF666E3E}">
          <x14:id>{F66BC0CA-BDC9-4CE8-A6E0-66215AF32077}</x14:id>
        </ext>
      </extLst>
    </cfRule>
  </conditionalFormatting>
  <conditionalFormatting sqref="K3:K33">
    <cfRule type="dataBar" priority="20">
      <dataBar>
        <cfvo type="min"/>
        <cfvo type="max"/>
        <color rgb="FFD6007B"/>
      </dataBar>
      <extLst>
        <ext xmlns:x14="http://schemas.microsoft.com/office/spreadsheetml/2009/9/main" uri="{B025F937-C7B1-47D3-B67F-A62EFF666E3E}">
          <x14:id>{7E82E02B-FA76-4AFA-A302-3407294384E2}</x14:id>
        </ext>
      </extLst>
    </cfRule>
  </conditionalFormatting>
  <conditionalFormatting sqref="L3:L33">
    <cfRule type="dataBar" priority="21">
      <dataBar>
        <cfvo type="min"/>
        <cfvo type="max"/>
        <color rgb="FF008AEF"/>
      </dataBar>
      <extLst>
        <ext xmlns:x14="http://schemas.microsoft.com/office/spreadsheetml/2009/9/main" uri="{B025F937-C7B1-47D3-B67F-A62EFF666E3E}">
          <x14:id>{84D5E51B-C570-4DE4-A08D-67141244E111}</x14:id>
        </ext>
      </extLst>
    </cfRule>
  </conditionalFormatting>
  <conditionalFormatting sqref="T3:T33">
    <cfRule type="dataBar" priority="22">
      <dataBar>
        <cfvo type="min"/>
        <cfvo type="max"/>
        <color rgb="FF63C384"/>
      </dataBar>
      <extLst>
        <ext xmlns:x14="http://schemas.microsoft.com/office/spreadsheetml/2009/9/main" uri="{B025F937-C7B1-47D3-B67F-A62EFF666E3E}">
          <x14:id>{FABBC383-450B-481D-BAF2-6BB6BD1196AB}</x14:id>
        </ext>
      </extLst>
    </cfRule>
  </conditionalFormatting>
  <conditionalFormatting sqref="U3:U33">
    <cfRule type="dataBar" priority="23">
      <dataBar>
        <cfvo type="min"/>
        <cfvo type="max"/>
        <color rgb="FFFF555A"/>
      </dataBar>
      <extLst>
        <ext xmlns:x14="http://schemas.microsoft.com/office/spreadsheetml/2009/9/main" uri="{B025F937-C7B1-47D3-B67F-A62EFF666E3E}">
          <x14:id>{8CE54D68-3265-4E7B-8105-CC923950A349}</x14:id>
        </ext>
      </extLst>
    </cfRule>
  </conditionalFormatting>
  <conditionalFormatting sqref="V3:V33">
    <cfRule type="dataBar" priority="24">
      <dataBar>
        <cfvo type="min"/>
        <cfvo type="max"/>
        <color rgb="FFFFB628"/>
      </dataBar>
      <extLst>
        <ext xmlns:x14="http://schemas.microsoft.com/office/spreadsheetml/2009/9/main" uri="{B025F937-C7B1-47D3-B67F-A62EFF666E3E}">
          <x14:id>{F284BBF0-FA7F-48A6-96E2-DB7590A862B5}</x14:id>
        </ext>
      </extLst>
    </cfRule>
  </conditionalFormatting>
  <conditionalFormatting sqref="W3:W33">
    <cfRule type="dataBar" priority="25">
      <dataBar>
        <cfvo type="min"/>
        <cfvo type="max"/>
        <color rgb="FFD6007B"/>
      </dataBar>
      <extLst>
        <ext xmlns:x14="http://schemas.microsoft.com/office/spreadsheetml/2009/9/main" uri="{B025F937-C7B1-47D3-B67F-A62EFF666E3E}">
          <x14:id>{EC8226C5-6B09-458D-9F0A-010CFF3B488E}</x14:id>
        </ext>
      </extLst>
    </cfRule>
  </conditionalFormatting>
  <conditionalFormatting sqref="X3:X33">
    <cfRule type="dataBar" priority="26">
      <dataBar>
        <cfvo type="min"/>
        <cfvo type="max"/>
        <color rgb="FF008AEF"/>
      </dataBar>
      <extLst>
        <ext xmlns:x14="http://schemas.microsoft.com/office/spreadsheetml/2009/9/main" uri="{B025F937-C7B1-47D3-B67F-A62EFF666E3E}">
          <x14:id>{992F5391-F807-4AD2-8FC2-A0D58F2894D9}</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CC46FBEE-67BB-4CE2-9300-82C5EF1EB857}">
            <x14:dataBar minLength="0" maxLength="100" border="1" negativeBarBorderColorSameAsPositive="0">
              <x14:cfvo type="autoMin"/>
              <x14:cfvo type="autoMax"/>
              <x14:borderColor rgb="FF63C384"/>
              <x14:negativeFillColor rgb="FFFF0000"/>
              <x14:negativeBorderColor rgb="FFFF0000"/>
              <x14:axisColor rgb="FF000000"/>
            </x14:dataBar>
          </x14:cfRule>
          <xm:sqref>H3:H33</xm:sqref>
        </x14:conditionalFormatting>
        <x14:conditionalFormatting xmlns:xm="http://schemas.microsoft.com/office/excel/2006/main">
          <x14:cfRule type="dataBar" id="{B11DD75F-1C5D-4DF7-8D91-3D3013712A73}">
            <x14:dataBar minLength="0" maxLength="100" border="1" negativeBarBorderColorSameAsPositive="0">
              <x14:cfvo type="autoMin"/>
              <x14:cfvo type="autoMax"/>
              <x14:borderColor rgb="FFFF555A"/>
              <x14:negativeFillColor rgb="FFFF0000"/>
              <x14:negativeBorderColor rgb="FFFF0000"/>
              <x14:axisColor rgb="FF000000"/>
            </x14:dataBar>
          </x14:cfRule>
          <xm:sqref>I3:I33</xm:sqref>
        </x14:conditionalFormatting>
        <x14:conditionalFormatting xmlns:xm="http://schemas.microsoft.com/office/excel/2006/main">
          <x14:cfRule type="dataBar" id="{F66BC0CA-BDC9-4CE8-A6E0-66215AF32077}">
            <x14:dataBar minLength="0" maxLength="100" border="1" negativeBarBorderColorSameAsPositive="0">
              <x14:cfvo type="autoMin"/>
              <x14:cfvo type="autoMax"/>
              <x14:borderColor rgb="FFFFB628"/>
              <x14:negativeFillColor rgb="FFFF0000"/>
              <x14:negativeBorderColor rgb="FFFF0000"/>
              <x14:axisColor rgb="FF000000"/>
            </x14:dataBar>
          </x14:cfRule>
          <xm:sqref>J3:J33</xm:sqref>
        </x14:conditionalFormatting>
        <x14:conditionalFormatting xmlns:xm="http://schemas.microsoft.com/office/excel/2006/main">
          <x14:cfRule type="dataBar" id="{7E82E02B-FA76-4AFA-A302-3407294384E2}">
            <x14:dataBar minLength="0" maxLength="100" border="1" negativeBarBorderColorSameAsPositive="0">
              <x14:cfvo type="autoMin"/>
              <x14:cfvo type="autoMax"/>
              <x14:borderColor rgb="FFD6007B"/>
              <x14:negativeFillColor rgb="FFFF0000"/>
              <x14:negativeBorderColor rgb="FFFF0000"/>
              <x14:axisColor rgb="FF000000"/>
            </x14:dataBar>
          </x14:cfRule>
          <xm:sqref>K3:K33</xm:sqref>
        </x14:conditionalFormatting>
        <x14:conditionalFormatting xmlns:xm="http://schemas.microsoft.com/office/excel/2006/main">
          <x14:cfRule type="dataBar" id="{84D5E51B-C570-4DE4-A08D-67141244E111}">
            <x14:dataBar minLength="0" maxLength="100" border="1" negativeBarBorderColorSameAsPositive="0">
              <x14:cfvo type="autoMin"/>
              <x14:cfvo type="autoMax"/>
              <x14:borderColor rgb="FF008AEF"/>
              <x14:negativeFillColor rgb="FFFF0000"/>
              <x14:negativeBorderColor rgb="FFFF0000"/>
              <x14:axisColor rgb="FF000000"/>
            </x14:dataBar>
          </x14:cfRule>
          <xm:sqref>L3:L33</xm:sqref>
        </x14:conditionalFormatting>
        <x14:conditionalFormatting xmlns:xm="http://schemas.microsoft.com/office/excel/2006/main">
          <x14:cfRule type="dataBar" id="{FABBC383-450B-481D-BAF2-6BB6BD1196AB}">
            <x14:dataBar minLength="0" maxLength="100" border="1" negativeBarBorderColorSameAsPositive="0">
              <x14:cfvo type="autoMin"/>
              <x14:cfvo type="autoMax"/>
              <x14:borderColor rgb="FF63C384"/>
              <x14:negativeFillColor rgb="FFFF0000"/>
              <x14:negativeBorderColor rgb="FFFF0000"/>
              <x14:axisColor rgb="FF000000"/>
            </x14:dataBar>
          </x14:cfRule>
          <xm:sqref>T3:T33</xm:sqref>
        </x14:conditionalFormatting>
        <x14:conditionalFormatting xmlns:xm="http://schemas.microsoft.com/office/excel/2006/main">
          <x14:cfRule type="dataBar" id="{8CE54D68-3265-4E7B-8105-CC923950A349}">
            <x14:dataBar minLength="0" maxLength="100" border="1" negativeBarBorderColorSameAsPositive="0">
              <x14:cfvo type="autoMin"/>
              <x14:cfvo type="autoMax"/>
              <x14:borderColor rgb="FFFF555A"/>
              <x14:negativeFillColor rgb="FFFF0000"/>
              <x14:negativeBorderColor rgb="FFFF0000"/>
              <x14:axisColor rgb="FF000000"/>
            </x14:dataBar>
          </x14:cfRule>
          <xm:sqref>U3:U33</xm:sqref>
        </x14:conditionalFormatting>
        <x14:conditionalFormatting xmlns:xm="http://schemas.microsoft.com/office/excel/2006/main">
          <x14:cfRule type="dataBar" id="{F284BBF0-FA7F-48A6-96E2-DB7590A862B5}">
            <x14:dataBar minLength="0" maxLength="100" border="1" negativeBarBorderColorSameAsPositive="0">
              <x14:cfvo type="autoMin"/>
              <x14:cfvo type="autoMax"/>
              <x14:borderColor rgb="FFFFB628"/>
              <x14:negativeFillColor rgb="FFFF0000"/>
              <x14:negativeBorderColor rgb="FFFF0000"/>
              <x14:axisColor rgb="FF000000"/>
            </x14:dataBar>
          </x14:cfRule>
          <xm:sqref>V3:V33</xm:sqref>
        </x14:conditionalFormatting>
        <x14:conditionalFormatting xmlns:xm="http://schemas.microsoft.com/office/excel/2006/main">
          <x14:cfRule type="dataBar" id="{EC8226C5-6B09-458D-9F0A-010CFF3B488E}">
            <x14:dataBar minLength="0" maxLength="100" border="1" negativeBarBorderColorSameAsPositive="0">
              <x14:cfvo type="autoMin"/>
              <x14:cfvo type="autoMax"/>
              <x14:borderColor rgb="FFD6007B"/>
              <x14:negativeFillColor rgb="FFFF0000"/>
              <x14:negativeBorderColor rgb="FFFF0000"/>
              <x14:axisColor rgb="FF000000"/>
            </x14:dataBar>
          </x14:cfRule>
          <xm:sqref>W3:W33</xm:sqref>
        </x14:conditionalFormatting>
        <x14:conditionalFormatting xmlns:xm="http://schemas.microsoft.com/office/excel/2006/main">
          <x14:cfRule type="dataBar" id="{992F5391-F807-4AD2-8FC2-A0D58F2894D9}">
            <x14:dataBar minLength="0" maxLength="100" border="1" negativeBarBorderColorSameAsPositive="0">
              <x14:cfvo type="autoMin"/>
              <x14:cfvo type="autoMax"/>
              <x14:borderColor rgb="FF008AEF"/>
              <x14:negativeFillColor rgb="FFFF0000"/>
              <x14:negativeBorderColor rgb="FFFF0000"/>
              <x14:axisColor rgb="FF000000"/>
            </x14:dataBar>
          </x14:cfRule>
          <xm:sqref>X3:X33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A8FD-0A21-4742-A337-3AA3C741CF5D}">
  <dimension ref="A1:AC101"/>
  <sheetViews>
    <sheetView zoomScale="44" zoomScaleNormal="44" workbookViewId="0">
      <pane ySplit="2" topLeftCell="A3" activePane="bottomLeft" state="frozen"/>
      <selection pane="bottomLeft"/>
    </sheetView>
  </sheetViews>
  <sheetFormatPr defaultRowHeight="14.5" x14ac:dyDescent="0.35"/>
  <cols>
    <col min="1" max="1" width="20.36328125" style="8" bestFit="1" customWidth="1"/>
    <col min="2" max="2" width="13.08984375" style="8" bestFit="1" customWidth="1"/>
    <col min="3" max="4" width="30.453125" style="8" bestFit="1" customWidth="1"/>
    <col min="5" max="6" width="36.26953125" style="8" bestFit="1" customWidth="1"/>
    <col min="7" max="7" width="24.90625" style="8" bestFit="1" customWidth="1"/>
    <col min="8" max="8" width="54.6328125" style="8" bestFit="1" customWidth="1"/>
    <col min="9" max="9" width="24.6328125" style="8" bestFit="1" customWidth="1"/>
    <col min="10" max="10" width="28.1796875" style="8" bestFit="1" customWidth="1"/>
    <col min="11" max="11" width="18.7265625" style="8" bestFit="1" customWidth="1"/>
    <col min="12" max="12" width="14.7265625" style="8" bestFit="1" customWidth="1"/>
    <col min="13" max="13" width="19.08984375" style="8" bestFit="1" customWidth="1"/>
    <col min="14" max="14" width="22.36328125" style="8" bestFit="1" customWidth="1"/>
    <col min="15" max="15" width="18.453125" style="8" customWidth="1"/>
    <col min="16" max="16" width="55.90625" style="8" bestFit="1" customWidth="1"/>
    <col min="17" max="17" width="67" style="8" bestFit="1" customWidth="1"/>
    <col min="18" max="18" width="16.81640625" style="8" bestFit="1" customWidth="1"/>
    <col min="19" max="19" width="25.7265625" style="8" bestFit="1" customWidth="1"/>
    <col min="20" max="20" width="24.90625" style="8" bestFit="1" customWidth="1"/>
    <col min="21" max="21" width="34.1796875" style="8" bestFit="1" customWidth="1"/>
    <col min="22" max="22" width="54.6328125" style="8" bestFit="1" customWidth="1"/>
    <col min="23" max="23" width="24.6328125" style="8" bestFit="1" customWidth="1"/>
    <col min="24" max="24" width="28.1796875" style="8" bestFit="1" customWidth="1"/>
    <col min="25" max="25" width="18.7265625" style="8" bestFit="1" customWidth="1"/>
    <col min="26" max="26" width="14.7265625" style="8" bestFit="1" customWidth="1"/>
    <col min="27" max="27" width="19.08984375" style="8" bestFit="1" customWidth="1"/>
    <col min="28" max="28" width="22.36328125" style="8" bestFit="1" customWidth="1"/>
    <col min="29" max="29" width="18.453125" style="8" bestFit="1" customWidth="1"/>
    <col min="30" max="16384" width="8.7265625" style="8"/>
  </cols>
  <sheetData>
    <row r="1" spans="1:29" x14ac:dyDescent="0.35">
      <c r="A1" s="8" t="s">
        <v>394</v>
      </c>
      <c r="B1" s="8" t="s">
        <v>395</v>
      </c>
      <c r="C1" s="8" t="s">
        <v>396</v>
      </c>
      <c r="D1" s="8" t="s">
        <v>397</v>
      </c>
      <c r="E1" s="8" t="s">
        <v>398</v>
      </c>
      <c r="F1" s="8" t="s">
        <v>399</v>
      </c>
      <c r="G1" s="8" t="s">
        <v>2451</v>
      </c>
      <c r="H1" s="8" t="s">
        <v>2445</v>
      </c>
      <c r="I1" s="8" t="s">
        <v>2344</v>
      </c>
      <c r="J1" s="8" t="s">
        <v>400</v>
      </c>
      <c r="K1" s="8" t="s">
        <v>401</v>
      </c>
      <c r="L1" s="8" t="s">
        <v>402</v>
      </c>
      <c r="M1" s="8" t="s">
        <v>403</v>
      </c>
      <c r="N1" s="8" t="s">
        <v>404</v>
      </c>
      <c r="O1" s="8" t="s">
        <v>405</v>
      </c>
      <c r="P1" s="8" t="s">
        <v>391</v>
      </c>
      <c r="Q1" s="8" t="s">
        <v>393</v>
      </c>
      <c r="R1" s="8" t="s">
        <v>387</v>
      </c>
      <c r="S1" s="8" t="s">
        <v>388</v>
      </c>
      <c r="T1" s="8" t="s">
        <v>2451</v>
      </c>
      <c r="U1" s="8" t="s">
        <v>2452</v>
      </c>
      <c r="V1" s="8" t="s">
        <v>2445</v>
      </c>
      <c r="W1" s="8" t="s">
        <v>2344</v>
      </c>
      <c r="X1" s="8" t="s">
        <v>400</v>
      </c>
      <c r="Y1" s="8" t="s">
        <v>401</v>
      </c>
      <c r="Z1" s="8" t="s">
        <v>402</v>
      </c>
      <c r="AA1" s="8" t="s">
        <v>403</v>
      </c>
      <c r="AB1" s="8" t="s">
        <v>404</v>
      </c>
      <c r="AC1" s="8" t="s">
        <v>405</v>
      </c>
    </row>
    <row r="2" spans="1:29" s="42" customFormat="1" x14ac:dyDescent="0.35">
      <c r="A2" s="42" t="s">
        <v>2437</v>
      </c>
      <c r="B2" s="42" t="s">
        <v>2438</v>
      </c>
      <c r="C2" s="42" t="s">
        <v>2426</v>
      </c>
      <c r="D2" s="42" t="s">
        <v>2427</v>
      </c>
      <c r="E2" s="42" t="s">
        <v>2443</v>
      </c>
      <c r="F2" s="42" t="s">
        <v>2444</v>
      </c>
      <c r="G2" s="42" t="s">
        <v>2428</v>
      </c>
      <c r="H2" s="42" t="s">
        <v>2446</v>
      </c>
      <c r="I2" s="42" t="s">
        <v>2439</v>
      </c>
      <c r="J2" s="42" t="s">
        <v>2431</v>
      </c>
      <c r="K2" s="42" t="s">
        <v>2432</v>
      </c>
      <c r="L2" s="42" t="s">
        <v>402</v>
      </c>
      <c r="M2" s="42" t="s">
        <v>403</v>
      </c>
      <c r="N2" s="42" t="s">
        <v>404</v>
      </c>
      <c r="O2" s="42" t="s">
        <v>2433</v>
      </c>
      <c r="P2" s="42" t="s">
        <v>2482</v>
      </c>
      <c r="Q2" s="42" t="s">
        <v>2484</v>
      </c>
      <c r="R2" s="42" t="s">
        <v>2449</v>
      </c>
      <c r="S2" s="42" t="s">
        <v>2450</v>
      </c>
      <c r="T2" s="42" t="s">
        <v>2428</v>
      </c>
      <c r="U2" s="42" t="s">
        <v>2436</v>
      </c>
      <c r="V2" s="42" t="s">
        <v>2446</v>
      </c>
      <c r="W2" s="42" t="s">
        <v>2439</v>
      </c>
      <c r="X2" s="42" t="s">
        <v>2431</v>
      </c>
      <c r="Y2" s="42" t="s">
        <v>2432</v>
      </c>
      <c r="Z2" s="42" t="s">
        <v>402</v>
      </c>
      <c r="AA2" s="42" t="s">
        <v>403</v>
      </c>
      <c r="AB2" s="42" t="s">
        <v>404</v>
      </c>
      <c r="AC2" s="42" t="s">
        <v>2433</v>
      </c>
    </row>
    <row r="3" spans="1:29" x14ac:dyDescent="0.35">
      <c r="A3" s="8" t="s">
        <v>81</v>
      </c>
      <c r="B3" s="8" t="s">
        <v>82</v>
      </c>
      <c r="C3" s="8" t="s">
        <v>83</v>
      </c>
      <c r="D3" s="8" t="s">
        <v>84</v>
      </c>
      <c r="E3" s="8" t="s">
        <v>85</v>
      </c>
      <c r="F3" s="8" t="s">
        <v>61</v>
      </c>
      <c r="G3" s="8">
        <v>19302</v>
      </c>
      <c r="H3" s="10">
        <f>(G3/(2008347/82))*100</f>
        <v>78.809289430561549</v>
      </c>
      <c r="I3" s="10" t="s">
        <v>2</v>
      </c>
      <c r="J3" s="9">
        <v>4</v>
      </c>
      <c r="K3" s="9">
        <v>7.2</v>
      </c>
      <c r="L3" s="9">
        <v>10.6</v>
      </c>
      <c r="M3" s="9">
        <v>76.400000000000006</v>
      </c>
      <c r="N3" s="9">
        <v>0.8</v>
      </c>
      <c r="O3" s="9">
        <v>1</v>
      </c>
      <c r="P3" s="8" t="s">
        <v>62</v>
      </c>
      <c r="Q3" s="8" t="s">
        <v>84</v>
      </c>
      <c r="S3" s="8" t="s">
        <v>389</v>
      </c>
      <c r="T3" s="8">
        <v>16570</v>
      </c>
      <c r="U3" s="8">
        <f>T3-G3</f>
        <v>-2732</v>
      </c>
      <c r="V3" s="10">
        <f t="shared" ref="V3:V14" si="0">(T3/(2008347/99))*100</f>
        <v>81.680605990896993</v>
      </c>
      <c r="W3" s="10" t="s">
        <v>2</v>
      </c>
      <c r="X3" s="8">
        <v>4.5</v>
      </c>
      <c r="Y3" s="8">
        <v>8.1</v>
      </c>
      <c r="Z3" s="8">
        <v>11.9</v>
      </c>
      <c r="AA3" s="8">
        <v>73.7</v>
      </c>
      <c r="AB3" s="8">
        <v>0.9</v>
      </c>
      <c r="AC3" s="8">
        <f>100-SUM(X3:AB3)</f>
        <v>0.89999999999999147</v>
      </c>
    </row>
    <row r="4" spans="1:29" x14ac:dyDescent="0.35">
      <c r="A4" s="8" t="s">
        <v>86</v>
      </c>
      <c r="B4" s="8" t="s">
        <v>82</v>
      </c>
      <c r="C4" s="8" t="s">
        <v>83</v>
      </c>
      <c r="D4" s="8" t="s">
        <v>84</v>
      </c>
      <c r="E4" s="8" t="s">
        <v>87</v>
      </c>
      <c r="F4" s="8" t="s">
        <v>63</v>
      </c>
      <c r="G4" s="8">
        <v>29475</v>
      </c>
      <c r="H4" s="10">
        <f>(G4/(2008347/82))*100</f>
        <v>120.34523914443072</v>
      </c>
      <c r="I4" s="10" t="s">
        <v>2</v>
      </c>
      <c r="J4" s="9">
        <v>6.7</v>
      </c>
      <c r="K4" s="9">
        <v>22.9</v>
      </c>
      <c r="L4" s="9">
        <v>4.0999999999999996</v>
      </c>
      <c r="M4" s="9">
        <v>64.5</v>
      </c>
      <c r="N4" s="9">
        <v>0.8</v>
      </c>
      <c r="O4" s="9">
        <v>1</v>
      </c>
      <c r="P4" s="8" t="s">
        <v>64</v>
      </c>
      <c r="Q4" s="8" t="s">
        <v>84</v>
      </c>
      <c r="S4" s="8" t="s">
        <v>389</v>
      </c>
      <c r="T4" s="8">
        <v>17627</v>
      </c>
      <c r="U4" s="8">
        <f t="shared" ref="U4:U65" si="1">T4-G4</f>
        <v>-11848</v>
      </c>
      <c r="V4" s="10">
        <f t="shared" si="0"/>
        <v>86.891010368228208</v>
      </c>
      <c r="W4" s="10" t="s">
        <v>2</v>
      </c>
      <c r="X4" s="8">
        <v>4.7</v>
      </c>
      <c r="Y4" s="8">
        <v>18.7</v>
      </c>
      <c r="Z4" s="8">
        <v>4.5</v>
      </c>
      <c r="AA4" s="8">
        <v>70.2</v>
      </c>
      <c r="AB4" s="8">
        <v>0.7</v>
      </c>
      <c r="AC4" s="8">
        <f t="shared" ref="AC4:AC5" si="2">100-SUM(X4:AB4)</f>
        <v>1.2000000000000028</v>
      </c>
    </row>
    <row r="5" spans="1:29" x14ac:dyDescent="0.35">
      <c r="J5" s="9"/>
      <c r="K5" s="9"/>
      <c r="L5" s="9"/>
      <c r="M5" s="9"/>
      <c r="N5" s="9"/>
      <c r="O5" s="9"/>
      <c r="P5" s="8" t="s">
        <v>44</v>
      </c>
      <c r="Q5" s="8" t="s">
        <v>84</v>
      </c>
      <c r="R5" s="8" t="s">
        <v>389</v>
      </c>
      <c r="T5" s="8">
        <v>16947</v>
      </c>
      <c r="V5" s="10">
        <f t="shared" si="0"/>
        <v>83.538999983568587</v>
      </c>
      <c r="W5" s="10" t="s">
        <v>2</v>
      </c>
      <c r="X5" s="8">
        <v>7</v>
      </c>
      <c r="Y5" s="8">
        <v>24.4</v>
      </c>
      <c r="Z5" s="8">
        <v>3.4</v>
      </c>
      <c r="AA5" s="8">
        <v>63.4</v>
      </c>
      <c r="AB5" s="8">
        <v>0.8</v>
      </c>
      <c r="AC5" s="8">
        <f t="shared" si="2"/>
        <v>1.0000000000000142</v>
      </c>
    </row>
    <row r="6" spans="1:29" ht="29" x14ac:dyDescent="0.35">
      <c r="A6" s="8" t="s">
        <v>88</v>
      </c>
      <c r="B6" s="8" t="s">
        <v>82</v>
      </c>
      <c r="C6" s="8" t="s">
        <v>89</v>
      </c>
      <c r="D6" s="8" t="s">
        <v>90</v>
      </c>
      <c r="E6" s="8" t="s">
        <v>91</v>
      </c>
      <c r="F6" s="8" t="s">
        <v>92</v>
      </c>
      <c r="G6" s="8">
        <v>16538</v>
      </c>
      <c r="H6" s="10">
        <f>(G6/(2008347/82))*100</f>
        <v>67.523988633438336</v>
      </c>
      <c r="I6" s="35" t="s">
        <v>2442</v>
      </c>
      <c r="J6" s="9">
        <v>53.2</v>
      </c>
      <c r="K6" s="9">
        <v>17.5</v>
      </c>
      <c r="L6" s="9">
        <v>10.1</v>
      </c>
      <c r="M6" s="9">
        <v>10.1</v>
      </c>
      <c r="N6" s="9">
        <v>0.8</v>
      </c>
      <c r="O6" s="9">
        <v>8.3000000000000007</v>
      </c>
      <c r="P6" s="8" t="s">
        <v>92</v>
      </c>
      <c r="Q6" s="8" t="s">
        <v>90</v>
      </c>
      <c r="T6" s="8">
        <v>16538</v>
      </c>
      <c r="V6" s="10">
        <f t="shared" si="0"/>
        <v>81.522864325736549</v>
      </c>
      <c r="W6" s="35" t="s">
        <v>2442</v>
      </c>
      <c r="X6" s="9">
        <v>53.2</v>
      </c>
      <c r="Y6" s="9">
        <v>17.5</v>
      </c>
      <c r="Z6" s="9">
        <v>10.1</v>
      </c>
      <c r="AA6" s="9">
        <v>10.1</v>
      </c>
      <c r="AB6" s="9">
        <v>0.8</v>
      </c>
      <c r="AC6" s="9">
        <v>8.3000000000000007</v>
      </c>
    </row>
    <row r="7" spans="1:29" ht="29" x14ac:dyDescent="0.35">
      <c r="J7" s="9"/>
      <c r="K7" s="9"/>
      <c r="L7" s="9"/>
      <c r="M7" s="9"/>
      <c r="N7" s="9"/>
      <c r="O7" s="9"/>
      <c r="P7" s="8" t="s">
        <v>45</v>
      </c>
      <c r="Q7" s="8" t="s">
        <v>90</v>
      </c>
      <c r="R7" s="8" t="s">
        <v>389</v>
      </c>
      <c r="T7" s="8">
        <v>18764</v>
      </c>
      <c r="V7" s="10">
        <f t="shared" si="0"/>
        <v>92.495768908460548</v>
      </c>
      <c r="W7" s="35" t="s">
        <v>2442</v>
      </c>
      <c r="X7" s="8">
        <v>82.2</v>
      </c>
      <c r="Y7" s="8">
        <v>3.3</v>
      </c>
      <c r="Z7" s="8">
        <v>9.6999999999999993</v>
      </c>
      <c r="AA7" s="8">
        <v>3.4</v>
      </c>
      <c r="AB7" s="8">
        <v>0.5</v>
      </c>
      <c r="AC7" s="8">
        <f>100-SUM(X7:AB7)</f>
        <v>0.89999999999999147</v>
      </c>
    </row>
    <row r="8" spans="1:29" ht="29" x14ac:dyDescent="0.35">
      <c r="A8" s="8" t="s">
        <v>93</v>
      </c>
      <c r="B8" s="8" t="s">
        <v>82</v>
      </c>
      <c r="C8" s="8" t="s">
        <v>89</v>
      </c>
      <c r="D8" s="8" t="s">
        <v>90</v>
      </c>
      <c r="E8" s="8" t="s">
        <v>94</v>
      </c>
      <c r="F8" s="8" t="s">
        <v>95</v>
      </c>
      <c r="G8" s="8">
        <v>39943</v>
      </c>
      <c r="H8" s="10">
        <f>(G8/(2008347/82))*100</f>
        <v>163.08566198968603</v>
      </c>
      <c r="I8" s="35" t="s">
        <v>2442</v>
      </c>
      <c r="J8" s="9">
        <v>88</v>
      </c>
      <c r="K8" s="9">
        <v>2.8</v>
      </c>
      <c r="L8" s="9">
        <v>5.5</v>
      </c>
      <c r="M8" s="9">
        <v>2.4</v>
      </c>
      <c r="N8" s="9">
        <v>0.5</v>
      </c>
      <c r="O8" s="9">
        <v>0.8</v>
      </c>
      <c r="P8" s="8" t="s">
        <v>95</v>
      </c>
      <c r="Q8" s="8" t="s">
        <v>90</v>
      </c>
      <c r="T8" s="8">
        <v>21179</v>
      </c>
      <c r="U8" s="8">
        <f t="shared" si="1"/>
        <v>-18764</v>
      </c>
      <c r="V8" s="10">
        <f t="shared" si="0"/>
        <v>104.40033520103846</v>
      </c>
      <c r="W8" s="35" t="s">
        <v>2442</v>
      </c>
      <c r="X8" s="8">
        <v>93.2</v>
      </c>
      <c r="Y8" s="8">
        <v>2.2999999999999998</v>
      </c>
      <c r="Z8" s="8">
        <v>1.9</v>
      </c>
      <c r="AA8" s="8">
        <v>1.5</v>
      </c>
      <c r="AB8" s="8">
        <v>0.6</v>
      </c>
      <c r="AC8" s="8">
        <f>100-SUM(X8:AB8)</f>
        <v>0.5</v>
      </c>
    </row>
    <row r="9" spans="1:29" ht="29" x14ac:dyDescent="0.35">
      <c r="A9" s="8" t="s">
        <v>96</v>
      </c>
      <c r="B9" s="8" t="s">
        <v>82</v>
      </c>
      <c r="C9" s="8" t="s">
        <v>89</v>
      </c>
      <c r="D9" s="8" t="s">
        <v>90</v>
      </c>
      <c r="E9" s="8" t="s">
        <v>97</v>
      </c>
      <c r="F9" s="8" t="s">
        <v>98</v>
      </c>
      <c r="G9" s="8">
        <v>26741</v>
      </c>
      <c r="H9" s="10">
        <f>(G9/(2008347/82))*100</f>
        <v>109.18242714032982</v>
      </c>
      <c r="I9" s="35" t="s">
        <v>2442</v>
      </c>
      <c r="J9" s="9">
        <v>83.7</v>
      </c>
      <c r="K9" s="9">
        <v>9.1</v>
      </c>
      <c r="L9" s="9">
        <v>3.7</v>
      </c>
      <c r="M9" s="9">
        <v>2.2000000000000002</v>
      </c>
      <c r="N9" s="9">
        <v>0.5</v>
      </c>
      <c r="O9" s="9">
        <v>0.8</v>
      </c>
      <c r="P9" s="8" t="s">
        <v>98</v>
      </c>
      <c r="Q9" s="8" t="s">
        <v>90</v>
      </c>
      <c r="T9" s="8">
        <v>26741</v>
      </c>
      <c r="V9" s="10">
        <f t="shared" si="0"/>
        <v>131.81780837673969</v>
      </c>
      <c r="W9" s="35" t="s">
        <v>2442</v>
      </c>
      <c r="X9" s="8">
        <v>83.7</v>
      </c>
      <c r="Y9" s="8">
        <v>9.1</v>
      </c>
      <c r="Z9" s="8">
        <v>3.7</v>
      </c>
      <c r="AA9" s="8">
        <v>2.2000000000000002</v>
      </c>
      <c r="AB9" s="8">
        <v>0.5</v>
      </c>
      <c r="AC9" s="8">
        <v>0.8</v>
      </c>
    </row>
    <row r="10" spans="1:29" ht="29" x14ac:dyDescent="0.35">
      <c r="A10" s="8" t="s">
        <v>99</v>
      </c>
      <c r="B10" s="8" t="s">
        <v>82</v>
      </c>
      <c r="C10" s="8" t="s">
        <v>100</v>
      </c>
      <c r="D10" s="8" t="s">
        <v>101</v>
      </c>
      <c r="E10" s="8" t="s">
        <v>102</v>
      </c>
      <c r="F10" s="8" t="s">
        <v>103</v>
      </c>
      <c r="G10" s="8">
        <v>54447</v>
      </c>
      <c r="H10" s="10">
        <f>(G10/(2008347/82))*100</f>
        <v>222.30491045621102</v>
      </c>
      <c r="I10" s="35" t="s">
        <v>2442</v>
      </c>
      <c r="J10" s="9">
        <v>61.2</v>
      </c>
      <c r="K10" s="9">
        <v>18.7</v>
      </c>
      <c r="L10" s="9">
        <v>10.3</v>
      </c>
      <c r="M10" s="9">
        <v>7.6</v>
      </c>
      <c r="N10" s="9">
        <v>0.8</v>
      </c>
      <c r="O10" s="9">
        <v>1.4</v>
      </c>
      <c r="P10" s="8" t="s">
        <v>103</v>
      </c>
      <c r="Q10" s="8" t="s">
        <v>101</v>
      </c>
      <c r="T10" s="8">
        <v>21732</v>
      </c>
      <c r="U10" s="8">
        <f t="shared" si="1"/>
        <v>-32715</v>
      </c>
      <c r="V10" s="10">
        <f t="shared" si="0"/>
        <v>107.12630835209256</v>
      </c>
      <c r="W10" s="35" t="s">
        <v>2442</v>
      </c>
      <c r="X10" s="8">
        <v>86.9</v>
      </c>
      <c r="Y10" s="8">
        <v>1.8</v>
      </c>
      <c r="Z10" s="8">
        <v>7.6</v>
      </c>
      <c r="AA10" s="8">
        <v>2.1</v>
      </c>
      <c r="AB10" s="8">
        <v>0.7</v>
      </c>
      <c r="AC10" s="8">
        <f>100-SUM(X10:AB10)</f>
        <v>0.90000000000000568</v>
      </c>
    </row>
    <row r="11" spans="1:29" ht="29" x14ac:dyDescent="0.35">
      <c r="J11" s="9"/>
      <c r="K11" s="9"/>
      <c r="L11" s="9"/>
      <c r="M11" s="9"/>
      <c r="N11" s="9"/>
      <c r="O11" s="9"/>
      <c r="P11" s="8" t="s">
        <v>46</v>
      </c>
      <c r="Q11" s="8" t="s">
        <v>101</v>
      </c>
      <c r="R11" s="8" t="s">
        <v>389</v>
      </c>
      <c r="T11" s="8">
        <v>21419</v>
      </c>
      <c r="V11" s="10">
        <f t="shared" si="0"/>
        <v>105.58339768974187</v>
      </c>
      <c r="W11" s="35" t="s">
        <v>2442</v>
      </c>
      <c r="X11" s="8">
        <v>54.9</v>
      </c>
      <c r="Y11" s="8">
        <v>24.1</v>
      </c>
      <c r="Z11" s="8">
        <v>11</v>
      </c>
      <c r="AA11" s="8">
        <v>7.7</v>
      </c>
      <c r="AB11" s="8">
        <v>0.8</v>
      </c>
      <c r="AC11" s="8">
        <f>100-SUM(X11:AB11)</f>
        <v>1.5</v>
      </c>
    </row>
    <row r="12" spans="1:29" ht="29" x14ac:dyDescent="0.35">
      <c r="J12" s="9"/>
      <c r="K12" s="9"/>
      <c r="L12" s="9"/>
      <c r="M12" s="9"/>
      <c r="N12" s="9"/>
      <c r="O12" s="9"/>
      <c r="P12" s="8" t="s">
        <v>47</v>
      </c>
      <c r="Q12" s="8" t="s">
        <v>101</v>
      </c>
      <c r="R12" s="8" t="s">
        <v>389</v>
      </c>
      <c r="T12" s="8">
        <v>26941</v>
      </c>
      <c r="V12" s="10">
        <f t="shared" si="0"/>
        <v>132.80369378399251</v>
      </c>
      <c r="W12" s="35" t="s">
        <v>2442</v>
      </c>
      <c r="X12" s="8">
        <v>61.2</v>
      </c>
      <c r="Y12" s="8">
        <v>18.3</v>
      </c>
      <c r="Z12" s="8">
        <v>11.6</v>
      </c>
      <c r="AA12" s="8">
        <v>6.5</v>
      </c>
      <c r="AB12" s="8">
        <v>0.8</v>
      </c>
      <c r="AC12" s="8">
        <f>100-SUM(X12:AB12)</f>
        <v>1.6000000000000085</v>
      </c>
    </row>
    <row r="13" spans="1:29" ht="29" x14ac:dyDescent="0.35">
      <c r="A13" s="8" t="s">
        <v>104</v>
      </c>
      <c r="B13" s="8" t="s">
        <v>82</v>
      </c>
      <c r="C13" s="8" t="s">
        <v>100</v>
      </c>
      <c r="D13" s="8" t="s">
        <v>101</v>
      </c>
      <c r="E13" s="8" t="s">
        <v>105</v>
      </c>
      <c r="F13" s="8" t="s">
        <v>106</v>
      </c>
      <c r="G13" s="8">
        <v>39480</v>
      </c>
      <c r="H13" s="10">
        <f>(G13/(2008347/82))*100</f>
        <v>161.19525161737488</v>
      </c>
      <c r="I13" s="35" t="s">
        <v>2442</v>
      </c>
      <c r="J13" s="9">
        <v>89.3</v>
      </c>
      <c r="K13" s="9">
        <v>1.5</v>
      </c>
      <c r="L13" s="9">
        <v>5.7</v>
      </c>
      <c r="M13" s="9">
        <v>2</v>
      </c>
      <c r="N13" s="9">
        <v>0.7</v>
      </c>
      <c r="O13" s="9">
        <v>0.8</v>
      </c>
      <c r="P13" s="8" t="s">
        <v>106</v>
      </c>
      <c r="Q13" s="8" t="s">
        <v>101</v>
      </c>
      <c r="T13" s="8">
        <v>23034</v>
      </c>
      <c r="U13" s="8">
        <f t="shared" si="1"/>
        <v>-16446</v>
      </c>
      <c r="V13" s="10">
        <f t="shared" si="0"/>
        <v>113.54442235330848</v>
      </c>
      <c r="W13" s="35" t="s">
        <v>2442</v>
      </c>
      <c r="X13" s="8">
        <v>93.2</v>
      </c>
      <c r="Y13" s="8">
        <v>1</v>
      </c>
      <c r="Z13" s="8">
        <v>2.7</v>
      </c>
      <c r="AA13" s="8">
        <v>1.7</v>
      </c>
      <c r="AB13" s="8">
        <v>0.8</v>
      </c>
      <c r="AC13" s="8">
        <f>100-SUM(X13:AB13)</f>
        <v>0.59999999999999432</v>
      </c>
    </row>
    <row r="14" spans="1:29" ht="29" x14ac:dyDescent="0.35">
      <c r="A14" s="8" t="s">
        <v>107</v>
      </c>
      <c r="B14" s="8" t="s">
        <v>82</v>
      </c>
      <c r="C14" s="8" t="s">
        <v>100</v>
      </c>
      <c r="D14" s="8" t="s">
        <v>101</v>
      </c>
      <c r="E14" s="8" t="s">
        <v>108</v>
      </c>
      <c r="F14" s="8" t="s">
        <v>109</v>
      </c>
      <c r="G14" s="8">
        <v>20246</v>
      </c>
      <c r="H14" s="10">
        <f>(G14/(2008347/82))*100</f>
        <v>82.663603450997257</v>
      </c>
      <c r="I14" s="35" t="s">
        <v>2442</v>
      </c>
      <c r="J14" s="9">
        <v>68.3</v>
      </c>
      <c r="K14" s="9">
        <v>20.6</v>
      </c>
      <c r="L14" s="9">
        <v>5.2</v>
      </c>
      <c r="M14" s="9">
        <v>3</v>
      </c>
      <c r="N14" s="9">
        <v>0.9</v>
      </c>
      <c r="O14" s="9">
        <v>2</v>
      </c>
      <c r="P14" s="8" t="s">
        <v>109</v>
      </c>
      <c r="Q14" s="8" t="s">
        <v>101</v>
      </c>
      <c r="T14" s="8">
        <v>20246</v>
      </c>
      <c r="V14" s="10">
        <f t="shared" si="0"/>
        <v>99.801179776204023</v>
      </c>
      <c r="W14" s="35" t="s">
        <v>2442</v>
      </c>
      <c r="X14" s="8">
        <v>68.3</v>
      </c>
      <c r="Y14" s="8">
        <v>20.6</v>
      </c>
      <c r="Z14" s="8">
        <v>5.2</v>
      </c>
      <c r="AA14" s="8">
        <v>3</v>
      </c>
      <c r="AB14" s="8">
        <v>0.9</v>
      </c>
      <c r="AC14" s="8">
        <f>100-SUM(X14:AB14)</f>
        <v>1.9999999999999858</v>
      </c>
    </row>
    <row r="15" spans="1:29" x14ac:dyDescent="0.35">
      <c r="A15" s="8" t="s">
        <v>110</v>
      </c>
      <c r="B15" s="8" t="s">
        <v>82</v>
      </c>
      <c r="C15" s="8" t="s">
        <v>111</v>
      </c>
      <c r="D15" s="8" t="s">
        <v>112</v>
      </c>
      <c r="E15" s="8" t="s">
        <v>113</v>
      </c>
      <c r="F15" s="8" t="s">
        <v>114</v>
      </c>
      <c r="O15" s="9"/>
      <c r="P15" s="8" t="s">
        <v>114</v>
      </c>
      <c r="Q15" s="8" t="s">
        <v>112</v>
      </c>
    </row>
    <row r="16" spans="1:29" x14ac:dyDescent="0.35">
      <c r="A16" s="8" t="s">
        <v>115</v>
      </c>
      <c r="B16" s="8" t="s">
        <v>82</v>
      </c>
      <c r="C16" s="8" t="s">
        <v>111</v>
      </c>
      <c r="D16" s="8" t="s">
        <v>112</v>
      </c>
      <c r="E16" s="8" t="s">
        <v>116</v>
      </c>
      <c r="F16" s="8" t="s">
        <v>117</v>
      </c>
      <c r="O16" s="9"/>
      <c r="P16" s="8" t="s">
        <v>117</v>
      </c>
      <c r="Q16" s="8" t="s">
        <v>112</v>
      </c>
    </row>
    <row r="17" spans="1:29" x14ac:dyDescent="0.35">
      <c r="A17" s="8" t="s">
        <v>118</v>
      </c>
      <c r="B17" s="8" t="s">
        <v>82</v>
      </c>
      <c r="C17" s="8" t="s">
        <v>111</v>
      </c>
      <c r="D17" s="8" t="s">
        <v>112</v>
      </c>
      <c r="E17" s="8" t="s">
        <v>119</v>
      </c>
      <c r="F17" s="8" t="s">
        <v>120</v>
      </c>
      <c r="O17" s="9"/>
      <c r="P17" s="8" t="s">
        <v>120</v>
      </c>
      <c r="Q17" s="8" t="s">
        <v>112</v>
      </c>
    </row>
    <row r="18" spans="1:29" x14ac:dyDescent="0.35">
      <c r="A18" s="8" t="s">
        <v>121</v>
      </c>
      <c r="B18" s="8" t="s">
        <v>82</v>
      </c>
      <c r="C18" s="8" t="s">
        <v>122</v>
      </c>
      <c r="D18" s="8" t="s">
        <v>123</v>
      </c>
      <c r="E18" s="8" t="s">
        <v>124</v>
      </c>
      <c r="F18" s="8" t="s">
        <v>125</v>
      </c>
      <c r="G18" s="8">
        <v>47318</v>
      </c>
      <c r="H18" s="10">
        <f>(G18/(2008347/82))*100</f>
        <v>193.19749027434003</v>
      </c>
      <c r="I18" s="10" t="s">
        <v>2440</v>
      </c>
      <c r="J18" s="9">
        <v>9.9</v>
      </c>
      <c r="K18" s="9">
        <v>72.900000000000006</v>
      </c>
      <c r="L18" s="9">
        <v>10</v>
      </c>
      <c r="M18" s="9">
        <v>5.3</v>
      </c>
      <c r="N18" s="9">
        <v>0.7</v>
      </c>
      <c r="O18" s="9">
        <v>1.2</v>
      </c>
      <c r="P18" s="8" t="s">
        <v>125</v>
      </c>
      <c r="Q18" s="8" t="s">
        <v>123</v>
      </c>
      <c r="T18" s="8">
        <v>33004</v>
      </c>
      <c r="U18" s="8">
        <f t="shared" si="1"/>
        <v>-14314</v>
      </c>
      <c r="V18" s="10">
        <f t="shared" ref="V18:V21" si="3">(T18/(2008347/99))*100</f>
        <v>162.69080990486208</v>
      </c>
      <c r="W18" s="10" t="s">
        <v>2440</v>
      </c>
      <c r="X18" s="8">
        <v>13.2</v>
      </c>
      <c r="Y18" s="8">
        <v>64.599999999999994</v>
      </c>
      <c r="Z18" s="8">
        <v>13.4</v>
      </c>
      <c r="AA18" s="8">
        <v>6.6</v>
      </c>
      <c r="AB18" s="8">
        <v>0.9</v>
      </c>
      <c r="AC18" s="8">
        <f>100-SUM(X18:AB18)</f>
        <v>1.2999999999999972</v>
      </c>
    </row>
    <row r="19" spans="1:29" x14ac:dyDescent="0.35">
      <c r="A19" s="8" t="s">
        <v>126</v>
      </c>
      <c r="B19" s="8" t="s">
        <v>82</v>
      </c>
      <c r="C19" s="8" t="s">
        <v>122</v>
      </c>
      <c r="D19" s="8" t="s">
        <v>123</v>
      </c>
      <c r="E19" s="8" t="s">
        <v>127</v>
      </c>
      <c r="F19" s="8" t="s">
        <v>128</v>
      </c>
      <c r="G19" s="8">
        <v>38809</v>
      </c>
      <c r="H19" s="10">
        <f>(G19/(2008347/82))*100</f>
        <v>158.45558561344228</v>
      </c>
      <c r="I19" s="10" t="s">
        <v>2440</v>
      </c>
      <c r="J19" s="9">
        <v>21.1</v>
      </c>
      <c r="K19" s="9">
        <v>52.7</v>
      </c>
      <c r="L19" s="9">
        <v>8.6</v>
      </c>
      <c r="M19" s="9">
        <v>15.8</v>
      </c>
      <c r="N19" s="9">
        <v>0.8</v>
      </c>
      <c r="O19" s="9">
        <v>1</v>
      </c>
      <c r="P19" s="8" t="s">
        <v>128</v>
      </c>
      <c r="Q19" s="8" t="s">
        <v>123</v>
      </c>
      <c r="T19" s="8">
        <v>25255</v>
      </c>
      <c r="U19" s="8">
        <f t="shared" si="1"/>
        <v>-13554</v>
      </c>
      <c r="V19" s="10">
        <f t="shared" si="3"/>
        <v>124.49267980085115</v>
      </c>
      <c r="W19" s="10" t="s">
        <v>2441</v>
      </c>
      <c r="X19" s="8">
        <v>30.3</v>
      </c>
      <c r="Y19" s="8">
        <v>36.799999999999997</v>
      </c>
      <c r="Z19" s="8">
        <v>10.9</v>
      </c>
      <c r="AA19" s="8">
        <v>20.2</v>
      </c>
      <c r="AB19" s="8">
        <v>0.9</v>
      </c>
      <c r="AC19" s="8">
        <f>100-SUM(X19:AB19)</f>
        <v>0.89999999999999147</v>
      </c>
    </row>
    <row r="20" spans="1:29" x14ac:dyDescent="0.35">
      <c r="A20" s="8" t="s">
        <v>129</v>
      </c>
      <c r="B20" s="8" t="s">
        <v>82</v>
      </c>
      <c r="C20" s="8" t="s">
        <v>122</v>
      </c>
      <c r="D20" s="8" t="s">
        <v>123</v>
      </c>
      <c r="E20" s="8" t="s">
        <v>130</v>
      </c>
      <c r="F20" s="8" t="s">
        <v>131</v>
      </c>
      <c r="G20" s="8">
        <v>39802</v>
      </c>
      <c r="H20" s="10">
        <f>(G20/(2008347/82))*100</f>
        <v>162.50996466248114</v>
      </c>
      <c r="I20" s="10" t="s">
        <v>2440</v>
      </c>
      <c r="J20" s="9">
        <v>16.100000000000001</v>
      </c>
      <c r="K20" s="9">
        <v>55.7</v>
      </c>
      <c r="L20" s="9">
        <v>14.6</v>
      </c>
      <c r="M20" s="9">
        <v>10.9</v>
      </c>
      <c r="N20" s="9">
        <v>0.9</v>
      </c>
      <c r="O20" s="9">
        <v>1.8</v>
      </c>
      <c r="P20" s="8" t="s">
        <v>131</v>
      </c>
      <c r="Q20" s="8" t="s">
        <v>123</v>
      </c>
      <c r="T20" s="8">
        <v>38693</v>
      </c>
      <c r="U20" s="8">
        <f t="shared" si="1"/>
        <v>-1109</v>
      </c>
      <c r="V20" s="10">
        <f t="shared" si="3"/>
        <v>190.73432031416883</v>
      </c>
      <c r="W20" s="10" t="s">
        <v>2440</v>
      </c>
      <c r="X20" s="8">
        <v>14.1</v>
      </c>
      <c r="Y20" s="8">
        <v>57.1</v>
      </c>
      <c r="Z20" s="8">
        <v>14.9</v>
      </c>
      <c r="AA20" s="8">
        <v>1.1000000000000001</v>
      </c>
      <c r="AB20" s="8">
        <v>0.9</v>
      </c>
      <c r="AC20" s="8">
        <f>100-SUM(X20:AB20)</f>
        <v>11.899999999999991</v>
      </c>
    </row>
    <row r="21" spans="1:29" x14ac:dyDescent="0.35">
      <c r="J21" s="9"/>
      <c r="K21" s="9"/>
      <c r="L21" s="9"/>
      <c r="M21" s="9"/>
      <c r="N21" s="9"/>
      <c r="O21" s="9"/>
      <c r="P21" s="8" t="s">
        <v>48</v>
      </c>
      <c r="Q21" s="8" t="s">
        <v>123</v>
      </c>
      <c r="R21" s="8" t="s">
        <v>389</v>
      </c>
      <c r="T21" s="8">
        <v>28949</v>
      </c>
      <c r="V21" s="10">
        <f t="shared" si="3"/>
        <v>142.70198327281093</v>
      </c>
      <c r="W21" s="10" t="s">
        <v>2440</v>
      </c>
      <c r="X21" s="8">
        <v>6</v>
      </c>
      <c r="Y21" s="8">
        <v>84.3</v>
      </c>
      <c r="Z21" s="8">
        <v>3.3</v>
      </c>
      <c r="AA21" s="8">
        <v>4.9000000000000004</v>
      </c>
      <c r="AB21" s="8">
        <v>0.5</v>
      </c>
      <c r="AC21" s="8">
        <f>100-SUM(X21:AB21)</f>
        <v>1</v>
      </c>
    </row>
    <row r="22" spans="1:29" x14ac:dyDescent="0.35">
      <c r="A22" s="8" t="s">
        <v>132</v>
      </c>
      <c r="B22" s="8" t="s">
        <v>82</v>
      </c>
      <c r="C22" s="8" t="s">
        <v>133</v>
      </c>
      <c r="D22" s="8" t="s">
        <v>134</v>
      </c>
      <c r="E22" s="8" t="s">
        <v>135</v>
      </c>
      <c r="F22" s="8" t="s">
        <v>136</v>
      </c>
      <c r="O22" s="9"/>
      <c r="P22" s="8" t="s">
        <v>136</v>
      </c>
      <c r="Q22" s="8" t="s">
        <v>134</v>
      </c>
    </row>
    <row r="23" spans="1:29" x14ac:dyDescent="0.35">
      <c r="A23" s="8" t="s">
        <v>137</v>
      </c>
      <c r="B23" s="8" t="s">
        <v>82</v>
      </c>
      <c r="C23" s="8" t="s">
        <v>133</v>
      </c>
      <c r="D23" s="8" t="s">
        <v>134</v>
      </c>
      <c r="E23" s="8" t="s">
        <v>138</v>
      </c>
      <c r="F23" s="8" t="s">
        <v>139</v>
      </c>
      <c r="O23" s="9"/>
      <c r="P23" s="8" t="s">
        <v>139</v>
      </c>
      <c r="Q23" s="8" t="s">
        <v>134</v>
      </c>
    </row>
    <row r="24" spans="1:29" x14ac:dyDescent="0.35">
      <c r="A24" s="8" t="s">
        <v>140</v>
      </c>
      <c r="B24" s="8" t="s">
        <v>82</v>
      </c>
      <c r="C24" s="8" t="s">
        <v>133</v>
      </c>
      <c r="D24" s="8" t="s">
        <v>134</v>
      </c>
      <c r="E24" s="8" t="s">
        <v>141</v>
      </c>
      <c r="F24" s="8" t="s">
        <v>142</v>
      </c>
      <c r="O24" s="9"/>
      <c r="P24" s="8" t="s">
        <v>142</v>
      </c>
      <c r="Q24" s="8" t="s">
        <v>134</v>
      </c>
    </row>
    <row r="25" spans="1:29" x14ac:dyDescent="0.35">
      <c r="A25" s="8" t="s">
        <v>143</v>
      </c>
      <c r="B25" s="8" t="s">
        <v>82</v>
      </c>
      <c r="C25" s="8" t="s">
        <v>144</v>
      </c>
      <c r="D25" s="8" t="s">
        <v>145</v>
      </c>
      <c r="E25" s="8" t="s">
        <v>146</v>
      </c>
      <c r="F25" s="8" t="s">
        <v>147</v>
      </c>
      <c r="G25" s="8">
        <v>16381</v>
      </c>
      <c r="H25" s="10">
        <f>(G25/(2008347/82))*100</f>
        <v>66.882963949954856</v>
      </c>
      <c r="I25" s="10" t="s">
        <v>2</v>
      </c>
      <c r="J25" s="9">
        <v>5.3</v>
      </c>
      <c r="K25" s="9">
        <v>20</v>
      </c>
      <c r="L25" s="9">
        <v>3.4</v>
      </c>
      <c r="M25" s="9">
        <v>69.8</v>
      </c>
      <c r="N25" s="9">
        <v>0.8</v>
      </c>
      <c r="O25" s="9">
        <v>0.7</v>
      </c>
      <c r="P25" s="8" t="s">
        <v>147</v>
      </c>
      <c r="Q25" s="8" t="s">
        <v>84</v>
      </c>
      <c r="T25" s="8">
        <v>14815</v>
      </c>
      <c r="U25" s="8">
        <f t="shared" si="1"/>
        <v>-1566</v>
      </c>
      <c r="V25" s="10">
        <f>(T25/(2008347/99))*100</f>
        <v>73.029461542253401</v>
      </c>
      <c r="W25" s="10" t="s">
        <v>2</v>
      </c>
      <c r="X25" s="8">
        <v>5.8</v>
      </c>
      <c r="Y25" s="8">
        <v>18.2</v>
      </c>
      <c r="Z25" s="8">
        <v>3.4</v>
      </c>
      <c r="AA25" s="8">
        <v>71.099999999999994</v>
      </c>
      <c r="AB25" s="8">
        <v>0.8</v>
      </c>
      <c r="AC25" s="8">
        <f>100-SUM(X25:AB25)</f>
        <v>0.70000000000000284</v>
      </c>
    </row>
    <row r="26" spans="1:29" x14ac:dyDescent="0.35">
      <c r="A26" s="8" t="s">
        <v>148</v>
      </c>
      <c r="B26" s="8" t="s">
        <v>82</v>
      </c>
      <c r="C26" s="8" t="s">
        <v>144</v>
      </c>
      <c r="D26" s="8" t="s">
        <v>145</v>
      </c>
      <c r="E26" s="8" t="s">
        <v>149</v>
      </c>
      <c r="F26" s="8" t="s">
        <v>150</v>
      </c>
      <c r="G26" s="8">
        <v>34796</v>
      </c>
      <c r="H26" s="10">
        <f>(G26/(2008347/82))*100</f>
        <v>142.07066806682312</v>
      </c>
      <c r="I26" s="10" t="s">
        <v>2</v>
      </c>
      <c r="J26" s="9">
        <v>4.7</v>
      </c>
      <c r="K26" s="9">
        <v>23.7</v>
      </c>
      <c r="L26" s="9">
        <v>8.6999999999999993</v>
      </c>
      <c r="M26" s="9">
        <v>61.1</v>
      </c>
      <c r="N26" s="9">
        <v>0.9</v>
      </c>
      <c r="O26" s="9">
        <v>0.9</v>
      </c>
      <c r="P26" s="8" t="s">
        <v>150</v>
      </c>
      <c r="Q26" s="8" t="s">
        <v>145</v>
      </c>
      <c r="T26" s="8">
        <v>29682</v>
      </c>
      <c r="U26" s="8">
        <f t="shared" si="1"/>
        <v>-5114</v>
      </c>
      <c r="V26" s="10">
        <f t="shared" ref="V26:V28" si="4">(T26/(2008347/99))*100</f>
        <v>146.31525329039258</v>
      </c>
      <c r="W26" s="10" t="s">
        <v>2</v>
      </c>
      <c r="X26" s="8">
        <v>5.0999999999999996</v>
      </c>
      <c r="Y26" s="8">
        <v>26.4</v>
      </c>
      <c r="Z26" s="8">
        <v>9.1999999999999993</v>
      </c>
      <c r="AA26" s="8">
        <v>57.3</v>
      </c>
      <c r="AB26" s="8">
        <v>1</v>
      </c>
      <c r="AC26" s="8">
        <f>100-SUM(X26:AB26)</f>
        <v>1</v>
      </c>
    </row>
    <row r="27" spans="1:29" x14ac:dyDescent="0.35">
      <c r="A27" s="8" t="s">
        <v>151</v>
      </c>
      <c r="B27" s="8" t="s">
        <v>82</v>
      </c>
      <c r="C27" s="8" t="s">
        <v>144</v>
      </c>
      <c r="D27" s="8" t="s">
        <v>145</v>
      </c>
      <c r="E27" s="8" t="s">
        <v>152</v>
      </c>
      <c r="F27" s="8" t="s">
        <v>65</v>
      </c>
      <c r="G27" s="8">
        <v>31234</v>
      </c>
      <c r="H27" s="10">
        <f>(G27/(2008347/82))*100</f>
        <v>127.52716537530615</v>
      </c>
      <c r="I27" s="10" t="s">
        <v>2</v>
      </c>
      <c r="J27" s="9">
        <v>5.6</v>
      </c>
      <c r="K27" s="9">
        <v>28.1</v>
      </c>
      <c r="L27" s="9">
        <v>5.2</v>
      </c>
      <c r="M27" s="9">
        <v>59.8</v>
      </c>
      <c r="N27" s="9">
        <v>0.5</v>
      </c>
      <c r="O27" s="9">
        <v>0.8</v>
      </c>
      <c r="P27" s="8" t="s">
        <v>66</v>
      </c>
      <c r="Q27" s="8" t="s">
        <v>145</v>
      </c>
      <c r="S27" s="8" t="s">
        <v>389</v>
      </c>
      <c r="T27" s="8">
        <v>18531</v>
      </c>
      <c r="U27" s="8">
        <f t="shared" si="1"/>
        <v>-12703</v>
      </c>
      <c r="V27" s="10">
        <f t="shared" si="4"/>
        <v>91.347212409011007</v>
      </c>
      <c r="W27" s="10" t="s">
        <v>2</v>
      </c>
      <c r="X27" s="8">
        <v>8.1999999999999993</v>
      </c>
      <c r="Y27" s="8">
        <v>17.399999999999999</v>
      </c>
      <c r="Z27" s="8">
        <v>6.4</v>
      </c>
      <c r="AA27" s="8">
        <v>66.8</v>
      </c>
      <c r="AB27" s="8">
        <v>0.7</v>
      </c>
      <c r="AC27" s="8">
        <f>100-SUM(X27:AB27)</f>
        <v>0.5</v>
      </c>
    </row>
    <row r="28" spans="1:29" x14ac:dyDescent="0.35">
      <c r="J28" s="9"/>
      <c r="K28" s="9"/>
      <c r="L28" s="9"/>
      <c r="M28" s="9"/>
      <c r="N28" s="9"/>
      <c r="O28" s="9"/>
      <c r="P28" s="8" t="s">
        <v>49</v>
      </c>
      <c r="Q28" s="8" t="s">
        <v>145</v>
      </c>
      <c r="R28" s="8" t="s">
        <v>389</v>
      </c>
      <c r="T28" s="8">
        <v>20169</v>
      </c>
      <c r="V28" s="10">
        <f t="shared" si="4"/>
        <v>99.421613894411678</v>
      </c>
      <c r="W28" s="10" t="s">
        <v>2</v>
      </c>
      <c r="X28" s="8">
        <v>1.5</v>
      </c>
      <c r="Y28" s="8">
        <v>29.6</v>
      </c>
      <c r="Z28" s="8">
        <v>4.5999999999999996</v>
      </c>
      <c r="AA28" s="8">
        <v>62.8</v>
      </c>
      <c r="AB28" s="8">
        <v>0.5</v>
      </c>
      <c r="AC28" s="8">
        <f>100-SUM(X28:AB28)</f>
        <v>1</v>
      </c>
    </row>
    <row r="29" spans="1:29" x14ac:dyDescent="0.35">
      <c r="A29" s="8" t="s">
        <v>153</v>
      </c>
      <c r="B29" s="8" t="s">
        <v>82</v>
      </c>
      <c r="C29" s="8" t="s">
        <v>154</v>
      </c>
      <c r="D29" s="8" t="s">
        <v>155</v>
      </c>
      <c r="E29" s="8" t="s">
        <v>156</v>
      </c>
      <c r="F29" s="8" t="s">
        <v>157</v>
      </c>
      <c r="O29" s="9"/>
      <c r="P29" s="8" t="s">
        <v>157</v>
      </c>
      <c r="Q29" s="8" t="s">
        <v>155</v>
      </c>
    </row>
    <row r="30" spans="1:29" x14ac:dyDescent="0.35">
      <c r="A30" s="8" t="s">
        <v>158</v>
      </c>
      <c r="B30" s="8" t="s">
        <v>82</v>
      </c>
      <c r="C30" s="8" t="s">
        <v>154</v>
      </c>
      <c r="D30" s="8" t="s">
        <v>155</v>
      </c>
      <c r="E30" s="8" t="s">
        <v>159</v>
      </c>
      <c r="F30" s="8" t="s">
        <v>160</v>
      </c>
      <c r="O30" s="9"/>
      <c r="P30" s="8" t="s">
        <v>160</v>
      </c>
      <c r="Q30" s="8" t="s">
        <v>155</v>
      </c>
    </row>
    <row r="31" spans="1:29" x14ac:dyDescent="0.35">
      <c r="A31" s="8" t="s">
        <v>161</v>
      </c>
      <c r="B31" s="8" t="s">
        <v>82</v>
      </c>
      <c r="C31" s="8" t="s">
        <v>154</v>
      </c>
      <c r="D31" s="8" t="s">
        <v>155</v>
      </c>
      <c r="E31" s="8" t="s">
        <v>162</v>
      </c>
      <c r="F31" s="8" t="s">
        <v>163</v>
      </c>
      <c r="O31" s="9"/>
      <c r="P31" s="8" t="s">
        <v>163</v>
      </c>
      <c r="Q31" s="8" t="s">
        <v>155</v>
      </c>
    </row>
    <row r="32" spans="1:29" x14ac:dyDescent="0.35">
      <c r="A32" s="8" t="s">
        <v>164</v>
      </c>
      <c r="B32" s="8" t="s">
        <v>82</v>
      </c>
      <c r="C32" s="8" t="s">
        <v>165</v>
      </c>
      <c r="D32" s="8" t="s">
        <v>166</v>
      </c>
      <c r="E32" s="8" t="s">
        <v>167</v>
      </c>
      <c r="F32" s="8" t="s">
        <v>168</v>
      </c>
      <c r="O32" s="9"/>
      <c r="P32" s="8" t="s">
        <v>168</v>
      </c>
      <c r="Q32" s="8" t="s">
        <v>166</v>
      </c>
    </row>
    <row r="33" spans="1:17" x14ac:dyDescent="0.35">
      <c r="A33" s="8" t="s">
        <v>169</v>
      </c>
      <c r="B33" s="8" t="s">
        <v>82</v>
      </c>
      <c r="C33" s="8" t="s">
        <v>165</v>
      </c>
      <c r="D33" s="8" t="s">
        <v>166</v>
      </c>
      <c r="E33" s="8" t="s">
        <v>170</v>
      </c>
      <c r="F33" s="8" t="s">
        <v>171</v>
      </c>
      <c r="O33" s="9"/>
      <c r="P33" s="8" t="s">
        <v>171</v>
      </c>
      <c r="Q33" s="8" t="s">
        <v>166</v>
      </c>
    </row>
    <row r="34" spans="1:17" x14ac:dyDescent="0.35">
      <c r="A34" s="8" t="s">
        <v>172</v>
      </c>
      <c r="B34" s="8" t="s">
        <v>82</v>
      </c>
      <c r="C34" s="8" t="s">
        <v>165</v>
      </c>
      <c r="D34" s="8" t="s">
        <v>166</v>
      </c>
      <c r="E34" s="8" t="s">
        <v>173</v>
      </c>
      <c r="F34" s="8" t="s">
        <v>174</v>
      </c>
      <c r="O34" s="9"/>
      <c r="P34" s="8" t="s">
        <v>174</v>
      </c>
      <c r="Q34" s="8" t="s">
        <v>166</v>
      </c>
    </row>
    <row r="35" spans="1:17" x14ac:dyDescent="0.35">
      <c r="A35" s="8" t="s">
        <v>175</v>
      </c>
      <c r="B35" s="8" t="s">
        <v>82</v>
      </c>
      <c r="C35" s="8" t="s">
        <v>176</v>
      </c>
      <c r="D35" s="8" t="s">
        <v>177</v>
      </c>
      <c r="E35" s="8" t="s">
        <v>178</v>
      </c>
      <c r="F35" s="8" t="s">
        <v>179</v>
      </c>
      <c r="O35" s="9"/>
      <c r="P35" s="8" t="s">
        <v>179</v>
      </c>
      <c r="Q35" s="8" t="s">
        <v>177</v>
      </c>
    </row>
    <row r="36" spans="1:17" x14ac:dyDescent="0.35">
      <c r="A36" s="8" t="s">
        <v>180</v>
      </c>
      <c r="B36" s="8" t="s">
        <v>82</v>
      </c>
      <c r="C36" s="8" t="s">
        <v>176</v>
      </c>
      <c r="D36" s="8" t="s">
        <v>177</v>
      </c>
      <c r="E36" s="8" t="s">
        <v>181</v>
      </c>
      <c r="F36" s="8" t="s">
        <v>182</v>
      </c>
      <c r="O36" s="9"/>
      <c r="P36" s="8" t="s">
        <v>182</v>
      </c>
      <c r="Q36" s="8" t="s">
        <v>177</v>
      </c>
    </row>
    <row r="37" spans="1:17" x14ac:dyDescent="0.35">
      <c r="A37" s="8" t="s">
        <v>183</v>
      </c>
      <c r="B37" s="8" t="s">
        <v>82</v>
      </c>
      <c r="C37" s="8" t="s">
        <v>176</v>
      </c>
      <c r="D37" s="8" t="s">
        <v>177</v>
      </c>
      <c r="E37" s="8" t="s">
        <v>184</v>
      </c>
      <c r="F37" s="8" t="s">
        <v>185</v>
      </c>
      <c r="O37" s="9"/>
      <c r="P37" s="8" t="s">
        <v>185</v>
      </c>
      <c r="Q37" s="8" t="s">
        <v>177</v>
      </c>
    </row>
    <row r="38" spans="1:17" x14ac:dyDescent="0.35">
      <c r="A38" s="8" t="s">
        <v>186</v>
      </c>
      <c r="B38" s="8" t="s">
        <v>82</v>
      </c>
      <c r="C38" s="8" t="s">
        <v>187</v>
      </c>
      <c r="D38" s="8" t="s">
        <v>188</v>
      </c>
      <c r="E38" s="8" t="s">
        <v>189</v>
      </c>
      <c r="F38" s="8" t="s">
        <v>190</v>
      </c>
      <c r="O38" s="9"/>
      <c r="P38" s="8" t="s">
        <v>190</v>
      </c>
      <c r="Q38" s="8" t="s">
        <v>188</v>
      </c>
    </row>
    <row r="39" spans="1:17" x14ac:dyDescent="0.35">
      <c r="A39" s="8" t="s">
        <v>191</v>
      </c>
      <c r="B39" s="8" t="s">
        <v>82</v>
      </c>
      <c r="C39" s="8" t="s">
        <v>187</v>
      </c>
      <c r="D39" s="8" t="s">
        <v>188</v>
      </c>
      <c r="E39" s="8" t="s">
        <v>192</v>
      </c>
      <c r="F39" s="8" t="s">
        <v>193</v>
      </c>
      <c r="O39" s="9"/>
      <c r="P39" s="8" t="s">
        <v>193</v>
      </c>
      <c r="Q39" s="8" t="s">
        <v>188</v>
      </c>
    </row>
    <row r="40" spans="1:17" x14ac:dyDescent="0.35">
      <c r="A40" s="8" t="s">
        <v>194</v>
      </c>
      <c r="B40" s="8" t="s">
        <v>82</v>
      </c>
      <c r="C40" s="8" t="s">
        <v>187</v>
      </c>
      <c r="D40" s="8" t="s">
        <v>188</v>
      </c>
      <c r="E40" s="8" t="s">
        <v>195</v>
      </c>
      <c r="F40" s="8" t="s">
        <v>196</v>
      </c>
      <c r="O40" s="9"/>
      <c r="P40" s="8" t="s">
        <v>196</v>
      </c>
      <c r="Q40" s="8" t="s">
        <v>188</v>
      </c>
    </row>
    <row r="41" spans="1:17" x14ac:dyDescent="0.35">
      <c r="A41" s="8" t="s">
        <v>197</v>
      </c>
      <c r="B41" s="8" t="s">
        <v>82</v>
      </c>
      <c r="C41" s="8" t="s">
        <v>198</v>
      </c>
      <c r="D41" s="8" t="s">
        <v>199</v>
      </c>
      <c r="E41" s="8" t="s">
        <v>200</v>
      </c>
      <c r="F41" s="8" t="s">
        <v>201</v>
      </c>
      <c r="O41" s="9"/>
      <c r="P41" s="8" t="s">
        <v>201</v>
      </c>
      <c r="Q41" s="8" t="s">
        <v>199</v>
      </c>
    </row>
    <row r="42" spans="1:17" x14ac:dyDescent="0.35">
      <c r="A42" s="8" t="s">
        <v>202</v>
      </c>
      <c r="B42" s="8" t="s">
        <v>82</v>
      </c>
      <c r="C42" s="8" t="s">
        <v>198</v>
      </c>
      <c r="D42" s="8" t="s">
        <v>199</v>
      </c>
      <c r="E42" s="8" t="s">
        <v>203</v>
      </c>
      <c r="F42" s="8" t="s">
        <v>204</v>
      </c>
      <c r="O42" s="9"/>
      <c r="P42" s="8" t="s">
        <v>204</v>
      </c>
      <c r="Q42" s="8" t="s">
        <v>199</v>
      </c>
    </row>
    <row r="43" spans="1:17" x14ac:dyDescent="0.35">
      <c r="A43" s="8" t="s">
        <v>205</v>
      </c>
      <c r="B43" s="8" t="s">
        <v>82</v>
      </c>
      <c r="C43" s="8" t="s">
        <v>206</v>
      </c>
      <c r="D43" s="8" t="s">
        <v>207</v>
      </c>
      <c r="E43" s="8" t="s">
        <v>208</v>
      </c>
      <c r="F43" s="8" t="s">
        <v>209</v>
      </c>
      <c r="O43" s="9"/>
      <c r="P43" s="8" t="s">
        <v>209</v>
      </c>
      <c r="Q43" s="8" t="s">
        <v>207</v>
      </c>
    </row>
    <row r="44" spans="1:17" x14ac:dyDescent="0.35">
      <c r="A44" s="8" t="s">
        <v>210</v>
      </c>
      <c r="B44" s="8" t="s">
        <v>82</v>
      </c>
      <c r="C44" s="8" t="s">
        <v>206</v>
      </c>
      <c r="D44" s="8" t="s">
        <v>207</v>
      </c>
      <c r="E44" s="8" t="s">
        <v>211</v>
      </c>
      <c r="F44" s="8" t="s">
        <v>212</v>
      </c>
      <c r="O44" s="9"/>
      <c r="P44" s="8" t="s">
        <v>212</v>
      </c>
      <c r="Q44" s="8" t="s">
        <v>207</v>
      </c>
    </row>
    <row r="45" spans="1:17" x14ac:dyDescent="0.35">
      <c r="A45" s="8" t="s">
        <v>213</v>
      </c>
      <c r="B45" s="8" t="s">
        <v>82</v>
      </c>
      <c r="C45" s="8" t="s">
        <v>206</v>
      </c>
      <c r="D45" s="8" t="s">
        <v>207</v>
      </c>
      <c r="E45" s="8" t="s">
        <v>214</v>
      </c>
      <c r="F45" s="8" t="s">
        <v>215</v>
      </c>
      <c r="O45" s="9"/>
      <c r="P45" s="8" t="s">
        <v>215</v>
      </c>
      <c r="Q45" s="8" t="s">
        <v>207</v>
      </c>
    </row>
    <row r="46" spans="1:17" x14ac:dyDescent="0.35">
      <c r="A46" s="8" t="s">
        <v>216</v>
      </c>
      <c r="B46" s="8" t="s">
        <v>82</v>
      </c>
      <c r="C46" s="8" t="s">
        <v>217</v>
      </c>
      <c r="D46" s="8" t="s">
        <v>218</v>
      </c>
      <c r="E46" s="8" t="s">
        <v>219</v>
      </c>
      <c r="F46" s="8" t="s">
        <v>220</v>
      </c>
      <c r="O46" s="9"/>
      <c r="P46" s="8" t="s">
        <v>220</v>
      </c>
      <c r="Q46" s="8" t="s">
        <v>218</v>
      </c>
    </row>
    <row r="47" spans="1:17" x14ac:dyDescent="0.35">
      <c r="A47" s="8" t="s">
        <v>221</v>
      </c>
      <c r="B47" s="8" t="s">
        <v>82</v>
      </c>
      <c r="C47" s="8" t="s">
        <v>217</v>
      </c>
      <c r="D47" s="8" t="s">
        <v>218</v>
      </c>
      <c r="E47" s="8" t="s">
        <v>222</v>
      </c>
      <c r="F47" s="8" t="s">
        <v>223</v>
      </c>
      <c r="O47" s="9"/>
      <c r="P47" s="8" t="s">
        <v>223</v>
      </c>
      <c r="Q47" s="8" t="s">
        <v>218</v>
      </c>
    </row>
    <row r="48" spans="1:17" x14ac:dyDescent="0.35">
      <c r="A48" s="8" t="s">
        <v>224</v>
      </c>
      <c r="B48" s="8" t="s">
        <v>82</v>
      </c>
      <c r="C48" s="8" t="s">
        <v>217</v>
      </c>
      <c r="D48" s="8" t="s">
        <v>218</v>
      </c>
      <c r="E48" s="8" t="s">
        <v>225</v>
      </c>
      <c r="F48" s="8" t="s">
        <v>226</v>
      </c>
      <c r="O48" s="9"/>
      <c r="P48" s="8" t="s">
        <v>226</v>
      </c>
      <c r="Q48" s="8" t="s">
        <v>218</v>
      </c>
    </row>
    <row r="49" spans="1:29" ht="29" x14ac:dyDescent="0.35">
      <c r="A49" s="8" t="s">
        <v>227</v>
      </c>
      <c r="B49" s="8" t="s">
        <v>82</v>
      </c>
      <c r="C49" s="8" t="s">
        <v>228</v>
      </c>
      <c r="D49" s="8" t="s">
        <v>229</v>
      </c>
      <c r="E49" s="8" t="s">
        <v>230</v>
      </c>
      <c r="F49" s="8" t="s">
        <v>231</v>
      </c>
      <c r="G49" s="8">
        <v>18873</v>
      </c>
      <c r="H49" s="10">
        <f>(G49/(2008347/82))*100</f>
        <v>77.057699690342346</v>
      </c>
      <c r="I49" s="35" t="s">
        <v>2442</v>
      </c>
      <c r="J49" s="9">
        <v>63</v>
      </c>
      <c r="K49" s="9">
        <v>8</v>
      </c>
      <c r="L49" s="9">
        <v>26.7</v>
      </c>
      <c r="M49" s="9">
        <v>0.4</v>
      </c>
      <c r="N49" s="9">
        <v>0.8</v>
      </c>
      <c r="O49" s="9">
        <v>1.1000000000000001</v>
      </c>
      <c r="P49" s="8" t="s">
        <v>231</v>
      </c>
      <c r="Q49" s="8" t="s">
        <v>229</v>
      </c>
      <c r="T49" s="8">
        <v>10762</v>
      </c>
      <c r="U49" s="8">
        <f t="shared" si="1"/>
        <v>-8111</v>
      </c>
      <c r="V49" s="10">
        <f>(T49/(2008347/99))*100</f>
        <v>53.050493764274798</v>
      </c>
      <c r="W49" s="35" t="s">
        <v>2442</v>
      </c>
      <c r="X49" s="8">
        <v>58.8</v>
      </c>
      <c r="Y49" s="8">
        <v>3.7</v>
      </c>
      <c r="Z49" s="8">
        <v>35.1</v>
      </c>
      <c r="AA49" s="8">
        <v>0.4</v>
      </c>
      <c r="AB49" s="8">
        <v>1.1000000000000001</v>
      </c>
      <c r="AC49" s="8">
        <f>100-SUM(X49:AB49)</f>
        <v>0.90000000000000568</v>
      </c>
    </row>
    <row r="50" spans="1:29" ht="29" x14ac:dyDescent="0.35">
      <c r="A50" s="8" t="s">
        <v>232</v>
      </c>
      <c r="B50" s="8" t="s">
        <v>82</v>
      </c>
      <c r="C50" s="8" t="s">
        <v>228</v>
      </c>
      <c r="D50" s="8" t="s">
        <v>229</v>
      </c>
      <c r="E50" s="8" t="s">
        <v>233</v>
      </c>
      <c r="F50" s="8" t="s">
        <v>67</v>
      </c>
      <c r="G50" s="8">
        <v>11187</v>
      </c>
      <c r="H50" s="10">
        <f>(G50/(2008347/82))*100</f>
        <v>45.676070918023626</v>
      </c>
      <c r="I50" s="35" t="s">
        <v>2442</v>
      </c>
      <c r="J50" s="9">
        <v>75</v>
      </c>
      <c r="K50" s="9">
        <v>3.5</v>
      </c>
      <c r="L50" s="9">
        <v>19.7</v>
      </c>
      <c r="M50" s="9">
        <v>0.2</v>
      </c>
      <c r="N50" s="9">
        <v>0.7</v>
      </c>
      <c r="O50" s="9">
        <v>0.9</v>
      </c>
      <c r="P50" s="8" t="s">
        <v>68</v>
      </c>
      <c r="Q50" s="8" t="s">
        <v>229</v>
      </c>
      <c r="S50" s="8" t="s">
        <v>389</v>
      </c>
      <c r="T50" s="8">
        <v>11460</v>
      </c>
      <c r="U50" s="8">
        <f t="shared" si="1"/>
        <v>273</v>
      </c>
      <c r="V50" s="10">
        <f t="shared" ref="V50:V51" si="5">(T50/(2008347/99))*100</f>
        <v>56.491233835587181</v>
      </c>
      <c r="W50" s="35" t="s">
        <v>2442</v>
      </c>
      <c r="X50" s="8">
        <v>77.099999999999994</v>
      </c>
      <c r="Y50" s="8">
        <v>1.3</v>
      </c>
      <c r="Z50" s="8">
        <v>19.899999999999999</v>
      </c>
      <c r="AA50" s="8">
        <v>0.2</v>
      </c>
      <c r="AB50" s="8">
        <v>0.6</v>
      </c>
      <c r="AC50" s="8">
        <f>100-SUM(X50:AB50)</f>
        <v>0.9000000000000199</v>
      </c>
    </row>
    <row r="51" spans="1:29" ht="29" x14ac:dyDescent="0.35">
      <c r="J51" s="9"/>
      <c r="K51" s="9"/>
      <c r="L51" s="9"/>
      <c r="M51" s="9"/>
      <c r="N51" s="9"/>
      <c r="O51" s="9"/>
      <c r="P51" s="8" t="s">
        <v>50</v>
      </c>
      <c r="Q51" s="8" t="s">
        <v>229</v>
      </c>
      <c r="R51" s="8" t="s">
        <v>389</v>
      </c>
      <c r="T51" s="8">
        <v>13265</v>
      </c>
      <c r="V51" s="10">
        <f t="shared" si="5"/>
        <v>65.388849636043972</v>
      </c>
      <c r="W51" s="35" t="s">
        <v>2442</v>
      </c>
      <c r="X51" s="8">
        <v>63.9</v>
      </c>
      <c r="Y51" s="8">
        <v>11.7</v>
      </c>
      <c r="Z51" s="8">
        <v>22.4</v>
      </c>
      <c r="AA51" s="8">
        <v>0.4</v>
      </c>
      <c r="AB51" s="8">
        <v>0.7</v>
      </c>
      <c r="AC51" s="8">
        <f>100-SUM(X51:AB51)</f>
        <v>0.89999999999999147</v>
      </c>
    </row>
    <row r="52" spans="1:29" x14ac:dyDescent="0.35">
      <c r="A52" s="8" t="s">
        <v>234</v>
      </c>
      <c r="B52" s="8" t="s">
        <v>82</v>
      </c>
      <c r="C52" s="8" t="s">
        <v>235</v>
      </c>
      <c r="D52" s="8" t="s">
        <v>236</v>
      </c>
      <c r="E52" s="8" t="s">
        <v>237</v>
      </c>
      <c r="F52" s="8" t="s">
        <v>238</v>
      </c>
      <c r="O52" s="9"/>
      <c r="P52" s="8" t="s">
        <v>238</v>
      </c>
      <c r="Q52" s="8" t="s">
        <v>236</v>
      </c>
    </row>
    <row r="53" spans="1:29" x14ac:dyDescent="0.35">
      <c r="A53" s="8" t="s">
        <v>239</v>
      </c>
      <c r="B53" s="8" t="s">
        <v>82</v>
      </c>
      <c r="C53" s="8" t="s">
        <v>235</v>
      </c>
      <c r="D53" s="8" t="s">
        <v>236</v>
      </c>
      <c r="E53" s="8" t="s">
        <v>240</v>
      </c>
      <c r="F53" s="8" t="s">
        <v>69</v>
      </c>
      <c r="O53" s="9"/>
      <c r="P53" s="8" t="s">
        <v>70</v>
      </c>
      <c r="Q53" s="8" t="s">
        <v>236</v>
      </c>
      <c r="S53" s="8" t="s">
        <v>389</v>
      </c>
    </row>
    <row r="54" spans="1:29" x14ac:dyDescent="0.35">
      <c r="A54" s="8" t="s">
        <v>241</v>
      </c>
      <c r="B54" s="8" t="s">
        <v>82</v>
      </c>
      <c r="C54" s="8" t="s">
        <v>242</v>
      </c>
      <c r="D54" s="8" t="s">
        <v>243</v>
      </c>
      <c r="E54" s="8" t="s">
        <v>244</v>
      </c>
      <c r="F54" s="8" t="s">
        <v>245</v>
      </c>
      <c r="O54" s="9"/>
      <c r="P54" s="8" t="s">
        <v>245</v>
      </c>
      <c r="Q54" s="8" t="s">
        <v>243</v>
      </c>
    </row>
    <row r="55" spans="1:29" x14ac:dyDescent="0.35">
      <c r="A55" s="8" t="s">
        <v>246</v>
      </c>
      <c r="B55" s="8" t="s">
        <v>82</v>
      </c>
      <c r="C55" s="8" t="s">
        <v>242</v>
      </c>
      <c r="D55" s="8" t="s">
        <v>243</v>
      </c>
      <c r="E55" s="8" t="s">
        <v>247</v>
      </c>
      <c r="F55" s="8" t="s">
        <v>248</v>
      </c>
      <c r="O55" s="9"/>
      <c r="P55" s="8" t="s">
        <v>248</v>
      </c>
      <c r="Q55" s="8" t="s">
        <v>243</v>
      </c>
    </row>
    <row r="56" spans="1:29" x14ac:dyDescent="0.35">
      <c r="A56" s="8" t="s">
        <v>249</v>
      </c>
      <c r="B56" s="8" t="s">
        <v>82</v>
      </c>
      <c r="C56" s="8" t="s">
        <v>250</v>
      </c>
      <c r="D56" s="8" t="s">
        <v>251</v>
      </c>
      <c r="E56" s="8" t="s">
        <v>252</v>
      </c>
      <c r="F56" s="8" t="s">
        <v>253</v>
      </c>
      <c r="O56" s="9"/>
      <c r="P56" s="8" t="s">
        <v>253</v>
      </c>
      <c r="Q56" s="8" t="s">
        <v>251</v>
      </c>
    </row>
    <row r="57" spans="1:29" x14ac:dyDescent="0.35">
      <c r="A57" s="8" t="s">
        <v>254</v>
      </c>
      <c r="B57" s="8" t="s">
        <v>82</v>
      </c>
      <c r="C57" s="8" t="s">
        <v>250</v>
      </c>
      <c r="D57" s="8" t="s">
        <v>251</v>
      </c>
      <c r="E57" s="8" t="s">
        <v>255</v>
      </c>
      <c r="F57" s="8" t="s">
        <v>256</v>
      </c>
      <c r="O57" s="9"/>
      <c r="P57" s="8" t="s">
        <v>256</v>
      </c>
      <c r="Q57" s="8" t="s">
        <v>251</v>
      </c>
    </row>
    <row r="58" spans="1:29" x14ac:dyDescent="0.35">
      <c r="A58" s="8" t="s">
        <v>257</v>
      </c>
      <c r="B58" s="8" t="s">
        <v>82</v>
      </c>
      <c r="C58" s="8" t="s">
        <v>258</v>
      </c>
      <c r="D58" s="8" t="s">
        <v>259</v>
      </c>
      <c r="E58" s="8" t="s">
        <v>260</v>
      </c>
      <c r="F58" s="8" t="s">
        <v>261</v>
      </c>
      <c r="O58" s="9"/>
      <c r="P58" s="8" t="s">
        <v>261</v>
      </c>
      <c r="Q58" s="8" t="s">
        <v>259</v>
      </c>
    </row>
    <row r="59" spans="1:29" x14ac:dyDescent="0.35">
      <c r="A59" s="8" t="s">
        <v>262</v>
      </c>
      <c r="B59" s="8" t="s">
        <v>82</v>
      </c>
      <c r="C59" s="8" t="s">
        <v>258</v>
      </c>
      <c r="D59" s="8" t="s">
        <v>259</v>
      </c>
      <c r="E59" s="8" t="s">
        <v>263</v>
      </c>
      <c r="F59" s="8" t="s">
        <v>264</v>
      </c>
      <c r="O59" s="9"/>
      <c r="P59" s="8" t="s">
        <v>264</v>
      </c>
      <c r="Q59" s="8" t="s">
        <v>259</v>
      </c>
    </row>
    <row r="60" spans="1:29" x14ac:dyDescent="0.35">
      <c r="A60" s="8" t="s">
        <v>265</v>
      </c>
      <c r="B60" s="8" t="s">
        <v>82</v>
      </c>
      <c r="C60" s="8" t="s">
        <v>266</v>
      </c>
      <c r="D60" s="8" t="s">
        <v>267</v>
      </c>
      <c r="E60" s="8" t="s">
        <v>268</v>
      </c>
      <c r="F60" s="8" t="s">
        <v>269</v>
      </c>
      <c r="G60" s="8">
        <v>35209</v>
      </c>
      <c r="H60" s="10">
        <f>(G60/(2008347/82))*100</f>
        <v>143.75693045076372</v>
      </c>
      <c r="I60" s="10" t="s">
        <v>2440</v>
      </c>
      <c r="J60" s="9">
        <v>7.2</v>
      </c>
      <c r="K60" s="9">
        <v>83.4</v>
      </c>
      <c r="L60" s="9">
        <v>8.4</v>
      </c>
      <c r="M60" s="9">
        <v>0.2</v>
      </c>
      <c r="N60" s="9">
        <v>0.3</v>
      </c>
      <c r="O60" s="9">
        <v>0.5</v>
      </c>
      <c r="P60" s="8" t="s">
        <v>269</v>
      </c>
      <c r="Q60" s="8" t="s">
        <v>267</v>
      </c>
      <c r="T60" s="8">
        <v>25291</v>
      </c>
      <c r="U60" s="8">
        <f t="shared" si="1"/>
        <v>-9918</v>
      </c>
      <c r="V60" s="10">
        <f t="shared" ref="V60:V78" si="6">(T60/(2008347/99))*100</f>
        <v>124.67013917415666</v>
      </c>
      <c r="W60" s="10" t="s">
        <v>2440</v>
      </c>
      <c r="X60" s="8">
        <v>1.7</v>
      </c>
      <c r="Y60" s="8">
        <v>93.8</v>
      </c>
      <c r="Z60" s="8">
        <v>3.7</v>
      </c>
      <c r="AA60" s="8">
        <v>0.1</v>
      </c>
      <c r="AB60" s="8">
        <v>0.2</v>
      </c>
      <c r="AC60" s="8">
        <f t="shared" ref="AC60:AC78" si="7">100-SUM(X60:AB60)</f>
        <v>0.5</v>
      </c>
    </row>
    <row r="61" spans="1:29" x14ac:dyDescent="0.35">
      <c r="A61" s="8" t="s">
        <v>270</v>
      </c>
      <c r="B61" s="8" t="s">
        <v>82</v>
      </c>
      <c r="C61" s="8" t="s">
        <v>266</v>
      </c>
      <c r="D61" s="8" t="s">
        <v>267</v>
      </c>
      <c r="E61" s="8" t="s">
        <v>271</v>
      </c>
      <c r="F61" s="8" t="s">
        <v>272</v>
      </c>
      <c r="G61" s="8">
        <v>54952</v>
      </c>
      <c r="H61" s="10">
        <f>(G61/(2008347/82))*100</f>
        <v>224.36680513875342</v>
      </c>
      <c r="I61" s="10" t="s">
        <v>2440</v>
      </c>
      <c r="J61" s="9">
        <v>10</v>
      </c>
      <c r="K61" s="9">
        <v>51.2</v>
      </c>
      <c r="L61" s="9">
        <v>35.799999999999997</v>
      </c>
      <c r="M61" s="9">
        <v>0.9</v>
      </c>
      <c r="N61" s="9">
        <v>1.2</v>
      </c>
      <c r="O61" s="9">
        <v>0.9</v>
      </c>
      <c r="P61" s="8" t="s">
        <v>272</v>
      </c>
      <c r="Q61" s="8" t="s">
        <v>267</v>
      </c>
      <c r="T61" s="8">
        <v>34285</v>
      </c>
      <c r="U61" s="8">
        <f t="shared" si="1"/>
        <v>-20667</v>
      </c>
      <c r="V61" s="10">
        <f t="shared" si="6"/>
        <v>169.00540593831644</v>
      </c>
      <c r="W61" s="10" t="s">
        <v>2441</v>
      </c>
      <c r="X61" s="8">
        <v>9.8000000000000007</v>
      </c>
      <c r="Y61" s="8">
        <v>46.7</v>
      </c>
      <c r="Z61" s="8">
        <v>39.4</v>
      </c>
      <c r="AA61" s="8">
        <v>1.1000000000000001</v>
      </c>
      <c r="AB61" s="8">
        <v>1.4</v>
      </c>
      <c r="AC61" s="8">
        <f t="shared" si="7"/>
        <v>1.5999999999999943</v>
      </c>
    </row>
    <row r="62" spans="1:29" x14ac:dyDescent="0.35">
      <c r="J62" s="9"/>
      <c r="K62" s="9"/>
      <c r="L62" s="9"/>
      <c r="M62" s="9"/>
      <c r="N62" s="9"/>
      <c r="O62" s="9"/>
      <c r="P62" s="8" t="s">
        <v>51</v>
      </c>
      <c r="Q62" s="8" t="s">
        <v>267</v>
      </c>
      <c r="R62" s="8" t="s">
        <v>389</v>
      </c>
      <c r="T62" s="8">
        <v>26325</v>
      </c>
      <c r="V62" s="10">
        <f t="shared" si="6"/>
        <v>129.76716672965381</v>
      </c>
      <c r="W62" s="10" t="s">
        <v>2440</v>
      </c>
      <c r="X62" s="8">
        <v>5.7</v>
      </c>
      <c r="Y62" s="8">
        <v>65.099999999999994</v>
      </c>
      <c r="Z62" s="8">
        <v>27.7</v>
      </c>
      <c r="AA62" s="8">
        <v>0.4</v>
      </c>
      <c r="AB62" s="8">
        <v>0.7</v>
      </c>
      <c r="AC62" s="8">
        <f t="shared" si="7"/>
        <v>0.39999999999999147</v>
      </c>
    </row>
    <row r="63" spans="1:29" x14ac:dyDescent="0.35">
      <c r="A63" s="8" t="s">
        <v>273</v>
      </c>
      <c r="B63" s="8" t="s">
        <v>82</v>
      </c>
      <c r="C63" s="8" t="s">
        <v>274</v>
      </c>
      <c r="D63" s="8" t="s">
        <v>275</v>
      </c>
      <c r="E63" s="8" t="s">
        <v>276</v>
      </c>
      <c r="F63" s="8" t="s">
        <v>71</v>
      </c>
      <c r="G63" s="8">
        <v>22725</v>
      </c>
      <c r="H63" s="10">
        <f>(G63/(2008347/82))*100</f>
        <v>92.785260714408409</v>
      </c>
      <c r="I63" s="10" t="s">
        <v>2441</v>
      </c>
      <c r="J63" s="9">
        <v>7.1</v>
      </c>
      <c r="K63" s="9">
        <v>45.8</v>
      </c>
      <c r="L63" s="9">
        <v>44.9</v>
      </c>
      <c r="M63" s="9">
        <v>0.6</v>
      </c>
      <c r="N63" s="9">
        <v>1</v>
      </c>
      <c r="O63" s="9">
        <v>0.6</v>
      </c>
      <c r="P63" s="8" t="s">
        <v>72</v>
      </c>
      <c r="Q63" s="8" t="s">
        <v>275</v>
      </c>
      <c r="S63" s="8" t="s">
        <v>389</v>
      </c>
      <c r="T63" s="8">
        <v>19770</v>
      </c>
      <c r="U63" s="8">
        <f t="shared" si="1"/>
        <v>-2955</v>
      </c>
      <c r="V63" s="10">
        <f t="shared" si="6"/>
        <v>97.454772506942277</v>
      </c>
      <c r="W63" s="10" t="s">
        <v>2440</v>
      </c>
      <c r="X63" s="8">
        <v>6.9</v>
      </c>
      <c r="Y63" s="8">
        <v>50.3</v>
      </c>
      <c r="Z63" s="8">
        <v>40.799999999999997</v>
      </c>
      <c r="AA63" s="8">
        <v>0.6</v>
      </c>
      <c r="AB63" s="8">
        <v>0.9</v>
      </c>
      <c r="AC63" s="8">
        <f t="shared" si="7"/>
        <v>0.5</v>
      </c>
    </row>
    <row r="64" spans="1:29" x14ac:dyDescent="0.35">
      <c r="A64" s="8" t="s">
        <v>277</v>
      </c>
      <c r="B64" s="8" t="s">
        <v>82</v>
      </c>
      <c r="C64" s="8" t="s">
        <v>274</v>
      </c>
      <c r="D64" s="8" t="s">
        <v>275</v>
      </c>
      <c r="E64" s="8" t="s">
        <v>278</v>
      </c>
      <c r="F64" s="8" t="s">
        <v>279</v>
      </c>
      <c r="G64" s="8">
        <v>51571</v>
      </c>
      <c r="H64" s="10">
        <f>(G64/(2008347/82))*100</f>
        <v>210.56231816513781</v>
      </c>
      <c r="I64" s="10" t="s">
        <v>2440</v>
      </c>
      <c r="J64" s="9">
        <v>4.5</v>
      </c>
      <c r="K64" s="9">
        <v>90.9</v>
      </c>
      <c r="L64" s="9">
        <v>3.4</v>
      </c>
      <c r="M64" s="9">
        <v>0.4</v>
      </c>
      <c r="N64" s="9">
        <v>0.4</v>
      </c>
      <c r="O64" s="9">
        <v>0.4</v>
      </c>
      <c r="P64" s="8" t="s">
        <v>279</v>
      </c>
      <c r="Q64" s="8" t="s">
        <v>275</v>
      </c>
      <c r="T64" s="8">
        <v>29547</v>
      </c>
      <c r="U64" s="8">
        <f t="shared" si="1"/>
        <v>-22024</v>
      </c>
      <c r="V64" s="10">
        <f t="shared" si="6"/>
        <v>145.64978064049689</v>
      </c>
      <c r="W64" s="10" t="s">
        <v>2440</v>
      </c>
      <c r="X64" s="8">
        <v>2.9</v>
      </c>
      <c r="Y64" s="8">
        <v>94.1</v>
      </c>
      <c r="Z64" s="8">
        <v>2.2000000000000002</v>
      </c>
      <c r="AA64" s="8">
        <v>0.2</v>
      </c>
      <c r="AB64" s="8">
        <v>0.3</v>
      </c>
      <c r="AC64" s="8">
        <f t="shared" si="7"/>
        <v>0.29999999999999716</v>
      </c>
    </row>
    <row r="65" spans="1:29" ht="29" x14ac:dyDescent="0.35">
      <c r="A65" s="8" t="s">
        <v>280</v>
      </c>
      <c r="B65" s="8" t="s">
        <v>82</v>
      </c>
      <c r="C65" s="8" t="s">
        <v>274</v>
      </c>
      <c r="D65" s="8" t="s">
        <v>275</v>
      </c>
      <c r="E65" s="8" t="s">
        <v>281</v>
      </c>
      <c r="F65" s="8" t="s">
        <v>282</v>
      </c>
      <c r="G65" s="8">
        <v>34990</v>
      </c>
      <c r="H65" s="10">
        <f>(G65/(2008347/82))*100</f>
        <v>142.86276226170079</v>
      </c>
      <c r="I65" s="10" t="s">
        <v>2441</v>
      </c>
      <c r="J65" s="9">
        <v>44.7</v>
      </c>
      <c r="K65" s="9">
        <v>28.3</v>
      </c>
      <c r="L65" s="9">
        <v>22.9</v>
      </c>
      <c r="M65" s="9">
        <v>1.2</v>
      </c>
      <c r="N65" s="9">
        <v>1.3</v>
      </c>
      <c r="O65" s="9">
        <v>1.6</v>
      </c>
      <c r="P65" s="8" t="s">
        <v>282</v>
      </c>
      <c r="Q65" s="8" t="s">
        <v>275</v>
      </c>
      <c r="T65" s="8">
        <v>14750</v>
      </c>
      <c r="U65" s="8">
        <f t="shared" si="1"/>
        <v>-20240</v>
      </c>
      <c r="V65" s="10">
        <f t="shared" si="6"/>
        <v>72.70904878489624</v>
      </c>
      <c r="W65" s="35" t="s">
        <v>2442</v>
      </c>
      <c r="X65" s="8">
        <v>58.4</v>
      </c>
      <c r="Y65" s="8">
        <v>18.8</v>
      </c>
      <c r="Z65" s="8">
        <v>19.8</v>
      </c>
      <c r="AA65" s="8">
        <v>0.8</v>
      </c>
      <c r="AB65" s="8">
        <v>1.2</v>
      </c>
      <c r="AC65" s="8">
        <f t="shared" si="7"/>
        <v>1</v>
      </c>
    </row>
    <row r="66" spans="1:29" x14ac:dyDescent="0.35">
      <c r="J66" s="9"/>
      <c r="K66" s="9"/>
      <c r="L66" s="9"/>
      <c r="M66" s="9"/>
      <c r="N66" s="9"/>
      <c r="O66" s="9"/>
      <c r="P66" s="8" t="s">
        <v>52</v>
      </c>
      <c r="Q66" s="8" t="s">
        <v>275</v>
      </c>
      <c r="R66" s="8" t="s">
        <v>389</v>
      </c>
      <c r="T66" s="8">
        <v>25327</v>
      </c>
      <c r="V66" s="10">
        <f t="shared" si="6"/>
        <v>124.84759854746217</v>
      </c>
      <c r="W66" s="10" t="s">
        <v>2440</v>
      </c>
      <c r="X66" s="8">
        <v>7</v>
      </c>
      <c r="Y66" s="8">
        <v>86.7</v>
      </c>
      <c r="Z66" s="8">
        <v>4.5999999999999996</v>
      </c>
      <c r="AA66" s="8">
        <v>0.6</v>
      </c>
      <c r="AB66" s="8">
        <v>0.4</v>
      </c>
      <c r="AC66" s="8">
        <f t="shared" si="7"/>
        <v>0.70000000000000284</v>
      </c>
    </row>
    <row r="67" spans="1:29" x14ac:dyDescent="0.35">
      <c r="J67" s="9"/>
      <c r="K67" s="9"/>
      <c r="L67" s="9"/>
      <c r="M67" s="9"/>
      <c r="N67" s="9"/>
      <c r="O67" s="9"/>
      <c r="P67" s="8" t="s">
        <v>53</v>
      </c>
      <c r="Q67" s="8" t="s">
        <v>275</v>
      </c>
      <c r="R67" s="8" t="s">
        <v>389</v>
      </c>
      <c r="T67" s="8">
        <v>23952</v>
      </c>
      <c r="V67" s="10">
        <f t="shared" si="6"/>
        <v>118.06963637259898</v>
      </c>
      <c r="W67" s="10" t="s">
        <v>2441</v>
      </c>
      <c r="X67" s="8">
        <v>40.299999999999997</v>
      </c>
      <c r="Y67" s="8">
        <v>21.4</v>
      </c>
      <c r="Z67" s="8">
        <v>33.5</v>
      </c>
      <c r="AA67" s="8">
        <v>1.5</v>
      </c>
      <c r="AB67" s="8">
        <v>1.4</v>
      </c>
      <c r="AC67" s="8">
        <f t="shared" si="7"/>
        <v>1.9000000000000057</v>
      </c>
    </row>
    <row r="68" spans="1:29" ht="29" x14ac:dyDescent="0.35">
      <c r="A68" s="8" t="s">
        <v>283</v>
      </c>
      <c r="B68" s="8" t="s">
        <v>82</v>
      </c>
      <c r="C68" s="8" t="s">
        <v>284</v>
      </c>
      <c r="D68" s="8" t="s">
        <v>285</v>
      </c>
      <c r="E68" s="8" t="s">
        <v>286</v>
      </c>
      <c r="F68" s="8" t="s">
        <v>287</v>
      </c>
      <c r="G68" s="8">
        <v>18281</v>
      </c>
      <c r="H68" s="10">
        <f>(G68/(2008347/82))*100</f>
        <v>74.64058750803521</v>
      </c>
      <c r="I68" s="35" t="s">
        <v>2442</v>
      </c>
      <c r="J68" s="9">
        <v>87.3</v>
      </c>
      <c r="K68" s="9">
        <v>8.3000000000000007</v>
      </c>
      <c r="L68" s="9">
        <v>2.7</v>
      </c>
      <c r="M68" s="9">
        <v>0.2</v>
      </c>
      <c r="N68" s="9">
        <v>0.7</v>
      </c>
      <c r="O68" s="9">
        <v>0.8</v>
      </c>
      <c r="P68" s="8" t="s">
        <v>287</v>
      </c>
      <c r="Q68" s="8" t="s">
        <v>285</v>
      </c>
      <c r="T68" s="8">
        <v>12452</v>
      </c>
      <c r="U68" s="8">
        <f t="shared" ref="U68:U96" si="8">T68-G68</f>
        <v>-5829</v>
      </c>
      <c r="V68" s="10">
        <f t="shared" si="6"/>
        <v>61.381225455561214</v>
      </c>
      <c r="W68" s="35" t="s">
        <v>2442</v>
      </c>
      <c r="X68" s="8">
        <v>72.7</v>
      </c>
      <c r="Y68" s="8">
        <v>10</v>
      </c>
      <c r="Z68" s="8">
        <v>15.4</v>
      </c>
      <c r="AA68" s="8">
        <v>0.3</v>
      </c>
      <c r="AB68" s="8">
        <v>0.8</v>
      </c>
      <c r="AC68" s="8">
        <f t="shared" si="7"/>
        <v>0.79999999999999716</v>
      </c>
    </row>
    <row r="69" spans="1:29" ht="29" x14ac:dyDescent="0.35">
      <c r="A69" s="8" t="s">
        <v>288</v>
      </c>
      <c r="B69" s="8" t="s">
        <v>82</v>
      </c>
      <c r="C69" s="8" t="s">
        <v>284</v>
      </c>
      <c r="D69" s="8" t="s">
        <v>285</v>
      </c>
      <c r="E69" s="8" t="s">
        <v>289</v>
      </c>
      <c r="F69" s="8" t="s">
        <v>290</v>
      </c>
      <c r="G69" s="8">
        <v>16511</v>
      </c>
      <c r="H69" s="10">
        <f>(G69/(2008347/82))*100</f>
        <v>67.413748719718242</v>
      </c>
      <c r="I69" s="35" t="s">
        <v>2442</v>
      </c>
      <c r="J69" s="9">
        <v>54.7</v>
      </c>
      <c r="K69" s="9">
        <v>13.4</v>
      </c>
      <c r="L69" s="9">
        <v>29.5</v>
      </c>
      <c r="M69" s="9">
        <v>0.3</v>
      </c>
      <c r="N69" s="9">
        <v>0.8</v>
      </c>
      <c r="O69" s="9">
        <v>1.3</v>
      </c>
      <c r="P69" s="8" t="s">
        <v>290</v>
      </c>
      <c r="Q69" s="8" t="s">
        <v>285</v>
      </c>
      <c r="T69" s="8">
        <v>14225</v>
      </c>
      <c r="U69" s="8">
        <f t="shared" si="8"/>
        <v>-2286</v>
      </c>
      <c r="V69" s="10">
        <f t="shared" si="6"/>
        <v>70.121099590857554</v>
      </c>
      <c r="W69" s="35" t="s">
        <v>2442</v>
      </c>
      <c r="X69" s="8">
        <v>59.4</v>
      </c>
      <c r="Y69" s="8">
        <v>15.2</v>
      </c>
      <c r="Z69" s="8">
        <v>22.9</v>
      </c>
      <c r="AA69" s="8">
        <v>0.6</v>
      </c>
      <c r="AB69" s="8">
        <v>0.9</v>
      </c>
      <c r="AC69" s="8">
        <f t="shared" si="7"/>
        <v>1</v>
      </c>
    </row>
    <row r="70" spans="1:29" ht="29" x14ac:dyDescent="0.35">
      <c r="A70" s="8" t="s">
        <v>291</v>
      </c>
      <c r="B70" s="8" t="s">
        <v>82</v>
      </c>
      <c r="C70" s="8" t="s">
        <v>284</v>
      </c>
      <c r="D70" s="8" t="s">
        <v>285</v>
      </c>
      <c r="E70" s="8" t="s">
        <v>292</v>
      </c>
      <c r="F70" s="8" t="s">
        <v>293</v>
      </c>
      <c r="G70" s="8">
        <v>13552</v>
      </c>
      <c r="H70" s="10">
        <f>(G70/(2008347/82))*100</f>
        <v>55.33227076794995</v>
      </c>
      <c r="I70" s="35" t="s">
        <v>2442</v>
      </c>
      <c r="J70" s="9">
        <v>60.8</v>
      </c>
      <c r="K70" s="9">
        <v>7.2</v>
      </c>
      <c r="L70" s="9">
        <v>30.3</v>
      </c>
      <c r="M70" s="9">
        <v>0.6</v>
      </c>
      <c r="N70" s="9">
        <v>0.6</v>
      </c>
      <c r="O70" s="9">
        <v>0.5</v>
      </c>
      <c r="P70" s="8" t="s">
        <v>293</v>
      </c>
      <c r="Q70" s="8" t="s">
        <v>285</v>
      </c>
      <c r="T70" s="8">
        <v>13552</v>
      </c>
      <c r="V70" s="10">
        <f t="shared" si="6"/>
        <v>66.803595195451777</v>
      </c>
      <c r="W70" s="35" t="s">
        <v>2442</v>
      </c>
      <c r="X70" s="8">
        <v>60.8</v>
      </c>
      <c r="Y70" s="8">
        <v>7.2</v>
      </c>
      <c r="Z70" s="8">
        <v>30.3</v>
      </c>
      <c r="AA70" s="8">
        <v>0.3</v>
      </c>
      <c r="AB70" s="8">
        <v>0.6</v>
      </c>
      <c r="AC70" s="8">
        <f t="shared" si="7"/>
        <v>0.80000000000001137</v>
      </c>
    </row>
    <row r="71" spans="1:29" ht="29" x14ac:dyDescent="0.35">
      <c r="J71" s="9"/>
      <c r="K71" s="9"/>
      <c r="L71" s="9"/>
      <c r="M71" s="9"/>
      <c r="N71" s="9"/>
      <c r="O71" s="9"/>
      <c r="P71" s="8" t="s">
        <v>54</v>
      </c>
      <c r="Q71" s="8" t="s">
        <v>285</v>
      </c>
      <c r="R71" s="8" t="s">
        <v>389</v>
      </c>
      <c r="T71" s="8">
        <v>10830</v>
      </c>
      <c r="V71" s="10">
        <f t="shared" si="6"/>
        <v>53.385694802740765</v>
      </c>
      <c r="W71" s="35" t="s">
        <v>2442</v>
      </c>
      <c r="X71" s="8">
        <v>90.7</v>
      </c>
      <c r="Y71" s="8">
        <v>3.1</v>
      </c>
      <c r="Z71" s="8">
        <v>4.5999999999999996</v>
      </c>
      <c r="AA71" s="8">
        <v>0.2</v>
      </c>
      <c r="AB71" s="8">
        <v>0.6</v>
      </c>
      <c r="AC71" s="8">
        <f t="shared" si="7"/>
        <v>0.80000000000001137</v>
      </c>
    </row>
    <row r="72" spans="1:29" x14ac:dyDescent="0.35">
      <c r="A72" s="8" t="s">
        <v>294</v>
      </c>
      <c r="B72" s="8" t="s">
        <v>82</v>
      </c>
      <c r="C72" s="8" t="s">
        <v>295</v>
      </c>
      <c r="D72" s="8" t="s">
        <v>296</v>
      </c>
      <c r="E72" s="8" t="s">
        <v>297</v>
      </c>
      <c r="F72" s="8" t="s">
        <v>298</v>
      </c>
      <c r="G72" s="8">
        <v>24334</v>
      </c>
      <c r="H72" s="10">
        <f>(G72/(2008347/82))*100</f>
        <v>99.354742980172247</v>
      </c>
      <c r="I72" s="10" t="s">
        <v>0</v>
      </c>
      <c r="J72" s="9">
        <v>1.1000000000000001</v>
      </c>
      <c r="K72" s="9">
        <v>2.8</v>
      </c>
      <c r="L72" s="9">
        <v>93.3</v>
      </c>
      <c r="M72" s="9">
        <v>0.5</v>
      </c>
      <c r="N72" s="9">
        <v>1.5</v>
      </c>
      <c r="O72" s="9">
        <v>0.8</v>
      </c>
      <c r="P72" s="8" t="s">
        <v>298</v>
      </c>
      <c r="Q72" s="8" t="s">
        <v>296</v>
      </c>
      <c r="T72" s="8">
        <v>19114</v>
      </c>
      <c r="U72" s="8">
        <f t="shared" si="8"/>
        <v>-5220</v>
      </c>
      <c r="V72" s="10">
        <f t="shared" si="6"/>
        <v>94.221068371152995</v>
      </c>
      <c r="W72" s="10" t="s">
        <v>0</v>
      </c>
      <c r="X72" s="8">
        <v>1.2</v>
      </c>
      <c r="Y72" s="8">
        <v>3</v>
      </c>
      <c r="Z72" s="8">
        <v>93</v>
      </c>
      <c r="AA72" s="8">
        <v>0.5</v>
      </c>
      <c r="AB72" s="8">
        <v>1.5</v>
      </c>
      <c r="AC72" s="8">
        <f t="shared" si="7"/>
        <v>0.79999999999999716</v>
      </c>
    </row>
    <row r="73" spans="1:29" x14ac:dyDescent="0.35">
      <c r="A73" s="8" t="s">
        <v>299</v>
      </c>
      <c r="B73" s="8" t="s">
        <v>82</v>
      </c>
      <c r="C73" s="8" t="s">
        <v>295</v>
      </c>
      <c r="D73" s="8" t="s">
        <v>296</v>
      </c>
      <c r="E73" s="8" t="s">
        <v>300</v>
      </c>
      <c r="F73" s="8" t="s">
        <v>301</v>
      </c>
      <c r="G73" s="8">
        <v>23397</v>
      </c>
      <c r="H73" s="10">
        <f>(G73/(2008347/82))*100</f>
        <v>95.529009678108409</v>
      </c>
      <c r="I73" s="10" t="s">
        <v>0</v>
      </c>
      <c r="J73" s="9">
        <v>4.5999999999999996</v>
      </c>
      <c r="K73" s="9">
        <v>4.7</v>
      </c>
      <c r="L73" s="9">
        <v>80.3</v>
      </c>
      <c r="M73" s="9">
        <v>0.6</v>
      </c>
      <c r="N73" s="9">
        <v>9.1999999999999993</v>
      </c>
      <c r="O73" s="9">
        <v>0.6</v>
      </c>
      <c r="P73" s="8" t="s">
        <v>301</v>
      </c>
      <c r="Q73" s="8" t="s">
        <v>296</v>
      </c>
      <c r="T73" s="8">
        <v>13342</v>
      </c>
      <c r="U73" s="8">
        <f t="shared" si="8"/>
        <v>-10055</v>
      </c>
      <c r="V73" s="10">
        <f t="shared" si="6"/>
        <v>65.768415517836303</v>
      </c>
      <c r="W73" s="10" t="s">
        <v>0</v>
      </c>
      <c r="X73" s="8">
        <v>1.7</v>
      </c>
      <c r="Y73" s="8">
        <v>5.7</v>
      </c>
      <c r="Z73" s="8">
        <v>77.400000000000006</v>
      </c>
      <c r="AA73" s="8">
        <v>0.6</v>
      </c>
      <c r="AB73" s="8">
        <v>14.1</v>
      </c>
      <c r="AC73" s="8">
        <f t="shared" si="7"/>
        <v>0.5</v>
      </c>
    </row>
    <row r="74" spans="1:29" x14ac:dyDescent="0.35">
      <c r="J74" s="9"/>
      <c r="K74" s="9"/>
      <c r="L74" s="9"/>
      <c r="M74" s="9"/>
      <c r="N74" s="9"/>
      <c r="O74" s="9"/>
      <c r="P74" s="8" t="s">
        <v>55</v>
      </c>
      <c r="Q74" s="8" t="s">
        <v>296</v>
      </c>
      <c r="R74" s="8" t="s">
        <v>389</v>
      </c>
      <c r="T74" s="8">
        <v>15272</v>
      </c>
      <c r="V74" s="10">
        <f t="shared" si="6"/>
        <v>75.282209697826133</v>
      </c>
      <c r="W74" s="10" t="s">
        <v>0</v>
      </c>
      <c r="X74" s="8">
        <v>5.8</v>
      </c>
      <c r="Y74" s="8">
        <v>3</v>
      </c>
      <c r="Z74" s="8">
        <v>87.7</v>
      </c>
      <c r="AA74" s="8">
        <v>0.5</v>
      </c>
      <c r="AB74" s="8">
        <v>2.2999999999999998</v>
      </c>
      <c r="AC74" s="8">
        <f t="shared" si="7"/>
        <v>0.70000000000000284</v>
      </c>
    </row>
    <row r="75" spans="1:29" x14ac:dyDescent="0.35">
      <c r="A75" s="8" t="s">
        <v>302</v>
      </c>
      <c r="B75" s="8" t="s">
        <v>82</v>
      </c>
      <c r="C75" s="8" t="s">
        <v>303</v>
      </c>
      <c r="D75" s="8" t="s">
        <v>304</v>
      </c>
      <c r="E75" s="8" t="s">
        <v>305</v>
      </c>
      <c r="F75" s="8" t="s">
        <v>306</v>
      </c>
      <c r="G75" s="8">
        <v>11944</v>
      </c>
      <c r="H75" s="10">
        <f>(G75/(2008347/82))*100</f>
        <v>48.766871461953528</v>
      </c>
      <c r="I75" s="10" t="s">
        <v>0</v>
      </c>
      <c r="J75" s="9">
        <v>0.9</v>
      </c>
      <c r="K75" s="9">
        <v>0.7</v>
      </c>
      <c r="L75" s="9">
        <v>95.4</v>
      </c>
      <c r="M75" s="9">
        <v>0.3</v>
      </c>
      <c r="N75" s="9">
        <v>1.9</v>
      </c>
      <c r="O75" s="9">
        <v>0.8</v>
      </c>
      <c r="P75" s="8" t="s">
        <v>306</v>
      </c>
      <c r="Q75" s="8" t="s">
        <v>304</v>
      </c>
      <c r="T75" s="8">
        <v>10387</v>
      </c>
      <c r="U75" s="8">
        <f t="shared" si="8"/>
        <v>-1557</v>
      </c>
      <c r="V75" s="10">
        <f t="shared" si="6"/>
        <v>51.201958625675751</v>
      </c>
      <c r="W75" s="10" t="s">
        <v>0</v>
      </c>
      <c r="X75" s="8">
        <v>0.9</v>
      </c>
      <c r="Y75" s="8">
        <v>1</v>
      </c>
      <c r="Z75" s="8">
        <v>90.7</v>
      </c>
      <c r="AA75" s="8">
        <v>0.3</v>
      </c>
      <c r="AB75" s="8">
        <v>6.4</v>
      </c>
      <c r="AC75" s="8">
        <f t="shared" si="7"/>
        <v>0.69999999999998863</v>
      </c>
    </row>
    <row r="76" spans="1:29" x14ac:dyDescent="0.35">
      <c r="A76" s="8" t="s">
        <v>307</v>
      </c>
      <c r="B76" s="8" t="s">
        <v>82</v>
      </c>
      <c r="C76" s="8" t="s">
        <v>303</v>
      </c>
      <c r="D76" s="8" t="s">
        <v>304</v>
      </c>
      <c r="E76" s="8" t="s">
        <v>308</v>
      </c>
      <c r="F76" s="8" t="s">
        <v>309</v>
      </c>
      <c r="G76" s="8">
        <v>16300</v>
      </c>
      <c r="H76" s="10">
        <f>(G76/(2008347/82))*100</f>
        <v>66.552244208794605</v>
      </c>
      <c r="I76" s="10" t="s">
        <v>0</v>
      </c>
      <c r="J76" s="9">
        <v>2.9</v>
      </c>
      <c r="K76" s="9">
        <v>4.8</v>
      </c>
      <c r="L76" s="9">
        <v>89.8</v>
      </c>
      <c r="M76" s="9">
        <v>0.4</v>
      </c>
      <c r="N76" s="9">
        <v>1.6</v>
      </c>
      <c r="O76" s="9">
        <v>0.5</v>
      </c>
      <c r="P76" s="8" t="s">
        <v>309</v>
      </c>
      <c r="Q76" s="8" t="s">
        <v>304</v>
      </c>
      <c r="T76" s="8">
        <v>16300</v>
      </c>
      <c r="V76" s="10">
        <f t="shared" si="6"/>
        <v>80.349660691105669</v>
      </c>
      <c r="W76" s="10" t="s">
        <v>0</v>
      </c>
      <c r="X76" s="8">
        <v>2.9</v>
      </c>
      <c r="Y76" s="8">
        <v>4.8</v>
      </c>
      <c r="Z76" s="8">
        <v>89.8</v>
      </c>
      <c r="AA76" s="8">
        <v>0.4</v>
      </c>
      <c r="AB76" s="8">
        <v>1.6</v>
      </c>
      <c r="AC76" s="8">
        <f t="shared" si="7"/>
        <v>0.5</v>
      </c>
    </row>
    <row r="77" spans="1:29" x14ac:dyDescent="0.35">
      <c r="A77" s="8" t="s">
        <v>310</v>
      </c>
      <c r="B77" s="8" t="s">
        <v>82</v>
      </c>
      <c r="C77" s="8" t="s">
        <v>303</v>
      </c>
      <c r="D77" s="8" t="s">
        <v>304</v>
      </c>
      <c r="E77" s="8" t="s">
        <v>311</v>
      </c>
      <c r="F77" s="8" t="s">
        <v>312</v>
      </c>
      <c r="G77" s="8">
        <v>18398</v>
      </c>
      <c r="H77" s="10">
        <f>(G77/(2008347/82))*100</f>
        <v>75.118293800822272</v>
      </c>
      <c r="I77" s="10" t="s">
        <v>0</v>
      </c>
      <c r="J77" s="9">
        <v>5.3</v>
      </c>
      <c r="K77" s="9">
        <v>17</v>
      </c>
      <c r="L77" s="9">
        <v>73</v>
      </c>
      <c r="M77" s="9">
        <v>0.4</v>
      </c>
      <c r="N77" s="9">
        <v>3.3</v>
      </c>
      <c r="O77" s="9">
        <v>1</v>
      </c>
      <c r="P77" s="8" t="s">
        <v>312</v>
      </c>
      <c r="Q77" s="8" t="s">
        <v>304</v>
      </c>
      <c r="T77" s="8">
        <v>12550</v>
      </c>
      <c r="U77" s="8">
        <f t="shared" si="8"/>
        <v>-5848</v>
      </c>
      <c r="V77" s="10">
        <f t="shared" si="6"/>
        <v>61.864309305115107</v>
      </c>
      <c r="W77" s="10" t="s">
        <v>0</v>
      </c>
      <c r="X77" s="8">
        <v>5.9</v>
      </c>
      <c r="Y77" s="8">
        <v>19.8</v>
      </c>
      <c r="Z77" s="8">
        <v>70.2</v>
      </c>
      <c r="AA77" s="8">
        <v>0.3</v>
      </c>
      <c r="AB77" s="8">
        <v>2.6</v>
      </c>
      <c r="AC77" s="8">
        <f t="shared" si="7"/>
        <v>1.2000000000000028</v>
      </c>
    </row>
    <row r="78" spans="1:29" x14ac:dyDescent="0.35">
      <c r="J78" s="9"/>
      <c r="K78" s="9"/>
      <c r="L78" s="9"/>
      <c r="M78" s="9"/>
      <c r="N78" s="9"/>
      <c r="O78" s="9"/>
      <c r="P78" s="8" t="s">
        <v>56</v>
      </c>
      <c r="Q78" s="8" t="s">
        <v>304</v>
      </c>
      <c r="R78" s="8" t="s">
        <v>389</v>
      </c>
      <c r="T78" s="8">
        <v>10629</v>
      </c>
      <c r="V78" s="10">
        <f t="shared" si="6"/>
        <v>52.394879968451669</v>
      </c>
      <c r="W78" s="10" t="s">
        <v>0</v>
      </c>
      <c r="X78" s="8">
        <v>2.4</v>
      </c>
      <c r="Y78" s="8">
        <v>6.3</v>
      </c>
      <c r="Z78" s="8">
        <v>86.7</v>
      </c>
      <c r="AA78" s="8">
        <v>0.5</v>
      </c>
      <c r="AB78" s="8">
        <v>3.3</v>
      </c>
      <c r="AC78" s="8">
        <f t="shared" si="7"/>
        <v>0.79999999999999716</v>
      </c>
    </row>
    <row r="79" spans="1:29" x14ac:dyDescent="0.35">
      <c r="A79" s="8" t="s">
        <v>313</v>
      </c>
      <c r="B79" s="8" t="s">
        <v>82</v>
      </c>
      <c r="C79" s="8" t="s">
        <v>314</v>
      </c>
      <c r="D79" s="8" t="s">
        <v>315</v>
      </c>
      <c r="E79" s="8" t="s">
        <v>316</v>
      </c>
      <c r="F79" s="8" t="s">
        <v>317</v>
      </c>
      <c r="O79" s="9"/>
      <c r="P79" s="8" t="s">
        <v>317</v>
      </c>
      <c r="Q79" s="8" t="s">
        <v>315</v>
      </c>
    </row>
    <row r="80" spans="1:29" x14ac:dyDescent="0.35">
      <c r="A80" s="8" t="s">
        <v>318</v>
      </c>
      <c r="B80" s="8" t="s">
        <v>82</v>
      </c>
      <c r="C80" s="8" t="s">
        <v>314</v>
      </c>
      <c r="D80" s="8" t="s">
        <v>315</v>
      </c>
      <c r="E80" s="8" t="s">
        <v>319</v>
      </c>
      <c r="F80" s="8" t="s">
        <v>320</v>
      </c>
      <c r="O80" s="9"/>
      <c r="P80" s="8" t="s">
        <v>320</v>
      </c>
      <c r="Q80" s="8" t="s">
        <v>315</v>
      </c>
    </row>
    <row r="81" spans="1:29" x14ac:dyDescent="0.35">
      <c r="A81" s="8" t="s">
        <v>321</v>
      </c>
      <c r="B81" s="8" t="s">
        <v>82</v>
      </c>
      <c r="C81" s="8" t="s">
        <v>314</v>
      </c>
      <c r="D81" s="8" t="s">
        <v>315</v>
      </c>
      <c r="E81" s="8" t="s">
        <v>322</v>
      </c>
      <c r="F81" s="8" t="s">
        <v>323</v>
      </c>
      <c r="O81" s="9"/>
      <c r="P81" s="8" t="s">
        <v>323</v>
      </c>
      <c r="Q81" s="8" t="s">
        <v>315</v>
      </c>
    </row>
    <row r="82" spans="1:29" x14ac:dyDescent="0.35">
      <c r="A82" s="8" t="s">
        <v>324</v>
      </c>
      <c r="B82" s="8" t="s">
        <v>82</v>
      </c>
      <c r="C82" s="8" t="s">
        <v>325</v>
      </c>
      <c r="D82" s="8" t="s">
        <v>326</v>
      </c>
      <c r="E82" s="8" t="s">
        <v>327</v>
      </c>
      <c r="F82" s="8" t="s">
        <v>75</v>
      </c>
      <c r="O82" s="9"/>
      <c r="P82" s="8" t="s">
        <v>76</v>
      </c>
      <c r="Q82" s="8" t="s">
        <v>326</v>
      </c>
      <c r="S82" s="8" t="s">
        <v>389</v>
      </c>
    </row>
    <row r="83" spans="1:29" x14ac:dyDescent="0.35">
      <c r="A83" s="8" t="s">
        <v>328</v>
      </c>
      <c r="B83" s="8" t="s">
        <v>82</v>
      </c>
      <c r="C83" s="8" t="s">
        <v>325</v>
      </c>
      <c r="D83" s="8" t="s">
        <v>326</v>
      </c>
      <c r="E83" s="8" t="s">
        <v>329</v>
      </c>
      <c r="F83" s="8" t="s">
        <v>330</v>
      </c>
      <c r="O83" s="9"/>
      <c r="P83" s="8" t="s">
        <v>330</v>
      </c>
      <c r="Q83" s="8" t="s">
        <v>326</v>
      </c>
    </row>
    <row r="84" spans="1:29" x14ac:dyDescent="0.35">
      <c r="A84" s="8" t="s">
        <v>331</v>
      </c>
      <c r="B84" s="8" t="s">
        <v>82</v>
      </c>
      <c r="C84" s="8" t="s">
        <v>325</v>
      </c>
      <c r="D84" s="8" t="s">
        <v>326</v>
      </c>
      <c r="E84" s="8" t="s">
        <v>332</v>
      </c>
      <c r="F84" s="8" t="s">
        <v>333</v>
      </c>
      <c r="O84" s="9"/>
      <c r="P84" s="8" t="s">
        <v>333</v>
      </c>
      <c r="Q84" s="8" t="s">
        <v>326</v>
      </c>
    </row>
    <row r="85" spans="1:29" x14ac:dyDescent="0.35">
      <c r="A85" s="8" t="s">
        <v>334</v>
      </c>
      <c r="B85" s="8" t="s">
        <v>82</v>
      </c>
      <c r="C85" s="8" t="s">
        <v>325</v>
      </c>
      <c r="D85" s="8" t="s">
        <v>326</v>
      </c>
      <c r="E85" s="8" t="s">
        <v>335</v>
      </c>
      <c r="F85" s="8" t="s">
        <v>336</v>
      </c>
      <c r="O85" s="9"/>
      <c r="P85" s="8" t="s">
        <v>336</v>
      </c>
      <c r="Q85" s="8" t="s">
        <v>326</v>
      </c>
    </row>
    <row r="86" spans="1:29" ht="29" x14ac:dyDescent="0.35">
      <c r="A86" s="8" t="s">
        <v>337</v>
      </c>
      <c r="B86" s="8" t="s">
        <v>82</v>
      </c>
      <c r="C86" s="8" t="s">
        <v>338</v>
      </c>
      <c r="D86" s="8" t="s">
        <v>339</v>
      </c>
      <c r="E86" s="8" t="s">
        <v>340</v>
      </c>
      <c r="F86" s="8" t="s">
        <v>341</v>
      </c>
      <c r="G86" s="8">
        <v>20476</v>
      </c>
      <c r="H86" s="10">
        <f>(G86/(2008347/82))*100</f>
        <v>83.602684197501716</v>
      </c>
      <c r="I86" s="10" t="s">
        <v>2441</v>
      </c>
      <c r="J86" s="9">
        <v>43.4</v>
      </c>
      <c r="K86" s="9">
        <v>11.7</v>
      </c>
      <c r="L86" s="9">
        <v>37.4</v>
      </c>
      <c r="M86" s="9">
        <v>1.4</v>
      </c>
      <c r="N86" s="9">
        <v>3.6</v>
      </c>
      <c r="O86" s="9">
        <v>2.5</v>
      </c>
      <c r="P86" s="8" t="s">
        <v>341</v>
      </c>
      <c r="Q86" s="8" t="s">
        <v>339</v>
      </c>
      <c r="T86" s="8">
        <v>15396</v>
      </c>
      <c r="U86" s="8">
        <f t="shared" si="8"/>
        <v>-5080</v>
      </c>
      <c r="V86" s="10">
        <f t="shared" ref="V86:V97" si="9">(T86/(2008347/99))*100</f>
        <v>75.893458650322884</v>
      </c>
      <c r="W86" s="35" t="s">
        <v>2442</v>
      </c>
      <c r="X86" s="8">
        <v>51.2</v>
      </c>
      <c r="Y86" s="8">
        <v>7.3</v>
      </c>
      <c r="Z86" s="8">
        <v>34</v>
      </c>
      <c r="AA86" s="8">
        <v>1.3</v>
      </c>
      <c r="AB86" s="8">
        <v>3.5</v>
      </c>
      <c r="AC86" s="8">
        <f t="shared" ref="AC86:AC97" si="10">100-SUM(X86:AB86)</f>
        <v>2.7000000000000028</v>
      </c>
    </row>
    <row r="87" spans="1:29" ht="29" x14ac:dyDescent="0.35">
      <c r="A87" s="8" t="s">
        <v>342</v>
      </c>
      <c r="B87" s="8" t="s">
        <v>82</v>
      </c>
      <c r="C87" s="8" t="s">
        <v>338</v>
      </c>
      <c r="D87" s="8" t="s">
        <v>339</v>
      </c>
      <c r="E87" s="8" t="s">
        <v>343</v>
      </c>
      <c r="F87" s="8" t="s">
        <v>73</v>
      </c>
      <c r="G87" s="8">
        <v>39617</v>
      </c>
      <c r="H87" s="10">
        <f>(G87/(2008347/82))*100</f>
        <v>161.75461710551014</v>
      </c>
      <c r="I87" s="10" t="s">
        <v>2441</v>
      </c>
      <c r="J87" s="9">
        <v>25.3</v>
      </c>
      <c r="K87" s="9">
        <v>28.1</v>
      </c>
      <c r="L87" s="9">
        <v>31.4</v>
      </c>
      <c r="M87" s="9">
        <v>2</v>
      </c>
      <c r="N87" s="9">
        <v>11.6</v>
      </c>
      <c r="O87" s="9">
        <v>1.6</v>
      </c>
      <c r="P87" s="8" t="s">
        <v>74</v>
      </c>
      <c r="Q87" s="8" t="s">
        <v>339</v>
      </c>
      <c r="S87" s="8" t="s">
        <v>389</v>
      </c>
      <c r="T87" s="8">
        <v>11260</v>
      </c>
      <c r="U87" s="8">
        <f t="shared" si="8"/>
        <v>-28357</v>
      </c>
      <c r="V87" s="10">
        <f t="shared" si="9"/>
        <v>55.505348428334344</v>
      </c>
      <c r="W87" s="35" t="s">
        <v>2442</v>
      </c>
      <c r="X87" s="8">
        <v>51.2</v>
      </c>
      <c r="Y87" s="8">
        <v>14.2</v>
      </c>
      <c r="Z87" s="8">
        <v>29.5</v>
      </c>
      <c r="AA87" s="8">
        <v>1.4</v>
      </c>
      <c r="AB87" s="8">
        <v>2.1</v>
      </c>
      <c r="AC87" s="8">
        <f t="shared" si="10"/>
        <v>1.5999999999999943</v>
      </c>
    </row>
    <row r="88" spans="1:29" x14ac:dyDescent="0.35">
      <c r="J88" s="9"/>
      <c r="K88" s="9"/>
      <c r="L88" s="9"/>
      <c r="M88" s="9"/>
      <c r="N88" s="9"/>
      <c r="O88" s="9"/>
      <c r="P88" s="8" t="s">
        <v>57</v>
      </c>
      <c r="Q88" s="8" t="s">
        <v>339</v>
      </c>
      <c r="R88" s="8" t="s">
        <v>389</v>
      </c>
      <c r="T88" s="8">
        <v>13050</v>
      </c>
      <c r="V88" s="10">
        <f t="shared" si="9"/>
        <v>64.329022823247186</v>
      </c>
      <c r="W88" s="10" t="s">
        <v>2441</v>
      </c>
      <c r="X88" s="8">
        <v>22.8</v>
      </c>
      <c r="Y88" s="8">
        <v>42.5</v>
      </c>
      <c r="Z88" s="8">
        <v>24.2</v>
      </c>
      <c r="AA88" s="8">
        <v>1.2</v>
      </c>
      <c r="AB88" s="8">
        <v>7.7</v>
      </c>
      <c r="AC88" s="8">
        <f t="shared" si="10"/>
        <v>1.5999999999999943</v>
      </c>
    </row>
    <row r="89" spans="1:29" x14ac:dyDescent="0.35">
      <c r="A89" s="8" t="s">
        <v>344</v>
      </c>
      <c r="B89" s="8" t="s">
        <v>82</v>
      </c>
      <c r="C89" s="8" t="s">
        <v>345</v>
      </c>
      <c r="D89" s="8" t="s">
        <v>346</v>
      </c>
      <c r="E89" s="8" t="s">
        <v>347</v>
      </c>
      <c r="F89" s="8" t="s">
        <v>348</v>
      </c>
      <c r="G89" s="8">
        <v>31296</v>
      </c>
      <c r="H89" s="10">
        <f>(G89/(2008347/82))*100</f>
        <v>127.78030888088561</v>
      </c>
      <c r="I89" s="10" t="s">
        <v>1</v>
      </c>
      <c r="J89" s="9">
        <v>23.5</v>
      </c>
      <c r="K89" s="9">
        <v>53.3</v>
      </c>
      <c r="L89" s="9">
        <v>15.2</v>
      </c>
      <c r="M89" s="9">
        <v>1.3</v>
      </c>
      <c r="N89" s="9">
        <v>4.3</v>
      </c>
      <c r="O89" s="9">
        <v>2.4</v>
      </c>
      <c r="P89" s="8" t="s">
        <v>348</v>
      </c>
      <c r="Q89" s="8" t="s">
        <v>346</v>
      </c>
      <c r="T89" s="8">
        <v>27591</v>
      </c>
      <c r="U89" s="8">
        <f t="shared" si="8"/>
        <v>-3705</v>
      </c>
      <c r="V89" s="10">
        <f t="shared" si="9"/>
        <v>136.00782135756421</v>
      </c>
      <c r="W89" s="10" t="s">
        <v>2440</v>
      </c>
      <c r="X89" s="8">
        <v>22.5</v>
      </c>
      <c r="Y89" s="8">
        <v>63.1</v>
      </c>
      <c r="Z89" s="8">
        <v>7.2</v>
      </c>
      <c r="AA89" s="8">
        <v>1.2</v>
      </c>
      <c r="AB89" s="8">
        <v>3.9</v>
      </c>
      <c r="AC89" s="8">
        <f t="shared" si="10"/>
        <v>2.0999999999999943</v>
      </c>
    </row>
    <row r="90" spans="1:29" x14ac:dyDescent="0.35">
      <c r="A90" s="8" t="s">
        <v>349</v>
      </c>
      <c r="B90" s="8" t="s">
        <v>82</v>
      </c>
      <c r="C90" s="8" t="s">
        <v>345</v>
      </c>
      <c r="D90" s="8" t="s">
        <v>346</v>
      </c>
      <c r="E90" s="8" t="s">
        <v>350</v>
      </c>
      <c r="F90" s="8" t="s">
        <v>351</v>
      </c>
      <c r="G90" s="8">
        <v>44624</v>
      </c>
      <c r="H90" s="10">
        <f>(G90/(2008347/82))*100</f>
        <v>182.19799666093556</v>
      </c>
      <c r="I90" s="10" t="s">
        <v>1</v>
      </c>
      <c r="J90" s="9">
        <v>23.8</v>
      </c>
      <c r="K90" s="9">
        <v>59.6</v>
      </c>
      <c r="L90" s="9">
        <v>9.3000000000000007</v>
      </c>
      <c r="M90" s="9">
        <v>1.2</v>
      </c>
      <c r="N90" s="9">
        <v>4.3</v>
      </c>
      <c r="O90" s="9">
        <v>1.8</v>
      </c>
      <c r="P90" s="8" t="s">
        <v>351</v>
      </c>
      <c r="Q90" s="8" t="s">
        <v>346</v>
      </c>
      <c r="T90" s="8">
        <v>31229</v>
      </c>
      <c r="U90" s="8">
        <f t="shared" si="8"/>
        <v>-13395</v>
      </c>
      <c r="V90" s="10">
        <f t="shared" si="9"/>
        <v>153.9410769154932</v>
      </c>
      <c r="W90" s="10" t="s">
        <v>2440</v>
      </c>
      <c r="X90" s="8">
        <v>19.7</v>
      </c>
      <c r="Y90" s="8">
        <v>65.5</v>
      </c>
      <c r="Z90" s="8">
        <v>7.9</v>
      </c>
      <c r="AA90" s="8">
        <v>1.1000000000000001</v>
      </c>
      <c r="AB90" s="8">
        <v>3.9</v>
      </c>
      <c r="AC90" s="8">
        <f t="shared" si="10"/>
        <v>1.8999999999999915</v>
      </c>
    </row>
    <row r="91" spans="1:29" x14ac:dyDescent="0.35">
      <c r="A91" s="8" t="s">
        <v>352</v>
      </c>
      <c r="B91" s="8" t="s">
        <v>82</v>
      </c>
      <c r="C91" s="8" t="s">
        <v>345</v>
      </c>
      <c r="D91" s="8" t="s">
        <v>346</v>
      </c>
      <c r="E91" s="8" t="s">
        <v>353</v>
      </c>
      <c r="F91" s="8" t="s">
        <v>77</v>
      </c>
      <c r="G91" s="8">
        <v>72847</v>
      </c>
      <c r="H91" s="10">
        <f>(G91/(2008347/82))*100</f>
        <v>297.43137017656807</v>
      </c>
      <c r="I91" s="10" t="s">
        <v>2441</v>
      </c>
      <c r="J91" s="9">
        <v>21.4</v>
      </c>
      <c r="K91" s="9">
        <v>33.4</v>
      </c>
      <c r="L91" s="9">
        <v>32</v>
      </c>
      <c r="M91" s="9">
        <v>2.1</v>
      </c>
      <c r="N91" s="9">
        <v>9.6</v>
      </c>
      <c r="O91" s="9">
        <v>1.5</v>
      </c>
      <c r="P91" s="8" t="s">
        <v>78</v>
      </c>
      <c r="Q91" s="8" t="s">
        <v>346</v>
      </c>
      <c r="S91" s="8" t="s">
        <v>389</v>
      </c>
      <c r="T91" s="8">
        <v>32857</v>
      </c>
      <c r="U91" s="8">
        <f t="shared" si="8"/>
        <v>-39990</v>
      </c>
      <c r="V91" s="10">
        <f t="shared" si="9"/>
        <v>161.96618413053125</v>
      </c>
      <c r="W91" s="10" t="s">
        <v>2441</v>
      </c>
      <c r="X91" s="8">
        <v>13.2</v>
      </c>
      <c r="Y91" s="8">
        <v>45.1</v>
      </c>
      <c r="Z91" s="8">
        <v>23.9</v>
      </c>
      <c r="AA91" s="8">
        <v>2.2999999999999998</v>
      </c>
      <c r="AB91" s="8">
        <v>13.9</v>
      </c>
      <c r="AC91" s="8">
        <f t="shared" si="10"/>
        <v>1.6000000000000085</v>
      </c>
    </row>
    <row r="92" spans="1:29" x14ac:dyDescent="0.35">
      <c r="J92" s="9"/>
      <c r="K92" s="9"/>
      <c r="L92" s="9"/>
      <c r="M92" s="9"/>
      <c r="N92" s="9"/>
      <c r="O92" s="9"/>
      <c r="P92" s="8" t="s">
        <v>58</v>
      </c>
      <c r="Q92" s="8" t="s">
        <v>346</v>
      </c>
      <c r="R92" s="8" t="s">
        <v>389</v>
      </c>
      <c r="T92" s="8">
        <v>32951</v>
      </c>
      <c r="V92" s="10">
        <f t="shared" si="9"/>
        <v>162.42955027194006</v>
      </c>
      <c r="W92" s="10" t="s">
        <v>2441</v>
      </c>
      <c r="X92" s="8">
        <v>38.799999999999997</v>
      </c>
      <c r="Y92" s="8">
        <v>27</v>
      </c>
      <c r="Z92" s="8">
        <v>24</v>
      </c>
      <c r="AA92" s="8">
        <v>1.6</v>
      </c>
      <c r="AB92" s="8">
        <v>6.7</v>
      </c>
      <c r="AC92" s="8">
        <f t="shared" si="10"/>
        <v>1.9000000000000057</v>
      </c>
    </row>
    <row r="93" spans="1:29" x14ac:dyDescent="0.35">
      <c r="J93" s="9"/>
      <c r="K93" s="9"/>
      <c r="L93" s="9"/>
      <c r="M93" s="9"/>
      <c r="N93" s="9"/>
      <c r="O93" s="9"/>
      <c r="P93" s="8" t="s">
        <v>59</v>
      </c>
      <c r="Q93" s="8" t="s">
        <v>346</v>
      </c>
      <c r="R93" s="8" t="s">
        <v>389</v>
      </c>
      <c r="T93" s="8">
        <v>40099</v>
      </c>
      <c r="V93" s="10">
        <f t="shared" si="9"/>
        <v>197.66509472715623</v>
      </c>
      <c r="W93" s="10" t="s">
        <v>2441</v>
      </c>
      <c r="X93" s="8">
        <v>16.899999999999999</v>
      </c>
      <c r="Y93" s="8">
        <v>25</v>
      </c>
      <c r="Z93" s="8">
        <v>43.1</v>
      </c>
      <c r="AA93" s="8">
        <v>2.4</v>
      </c>
      <c r="AB93" s="8">
        <v>11.4</v>
      </c>
      <c r="AC93" s="8">
        <f t="shared" si="10"/>
        <v>1.1999999999999886</v>
      </c>
    </row>
    <row r="94" spans="1:29" x14ac:dyDescent="0.35">
      <c r="A94" s="8" t="s">
        <v>354</v>
      </c>
      <c r="B94" s="8" t="s">
        <v>82</v>
      </c>
      <c r="C94" s="8" t="s">
        <v>355</v>
      </c>
      <c r="D94" s="8" t="s">
        <v>356</v>
      </c>
      <c r="E94" s="8" t="s">
        <v>357</v>
      </c>
      <c r="F94" s="8" t="s">
        <v>358</v>
      </c>
      <c r="G94" s="8">
        <v>26008</v>
      </c>
      <c r="H94" s="10">
        <f>(G94/(2008347/82))*100</f>
        <v>106.18961763081778</v>
      </c>
      <c r="I94" s="10" t="s">
        <v>0</v>
      </c>
      <c r="J94" s="9">
        <v>10.6</v>
      </c>
      <c r="K94" s="9">
        <v>13.1</v>
      </c>
      <c r="L94" s="9">
        <v>58.2</v>
      </c>
      <c r="M94" s="9">
        <v>0.6</v>
      </c>
      <c r="N94" s="9">
        <v>16.3</v>
      </c>
      <c r="O94" s="9">
        <v>1.2</v>
      </c>
      <c r="P94" s="8" t="s">
        <v>358</v>
      </c>
      <c r="Q94" s="8" t="s">
        <v>356</v>
      </c>
      <c r="T94" s="8">
        <v>23259</v>
      </c>
      <c r="U94" s="8">
        <f t="shared" si="8"/>
        <v>-2749</v>
      </c>
      <c r="V94" s="10">
        <f t="shared" si="9"/>
        <v>114.6535434364679</v>
      </c>
      <c r="W94" s="10" t="s">
        <v>0</v>
      </c>
      <c r="X94" s="8">
        <v>11.7</v>
      </c>
      <c r="Y94" s="8">
        <v>14.3</v>
      </c>
      <c r="Z94" s="8">
        <v>62</v>
      </c>
      <c r="AA94" s="8">
        <v>0.6</v>
      </c>
      <c r="AB94" s="8">
        <v>10.3</v>
      </c>
      <c r="AC94" s="8">
        <f t="shared" si="10"/>
        <v>1.1000000000000085</v>
      </c>
    </row>
    <row r="95" spans="1:29" x14ac:dyDescent="0.35">
      <c r="A95" s="8" t="s">
        <v>359</v>
      </c>
      <c r="B95" s="8" t="s">
        <v>82</v>
      </c>
      <c r="C95" s="8" t="s">
        <v>355</v>
      </c>
      <c r="D95" s="8" t="s">
        <v>356</v>
      </c>
      <c r="E95" s="8" t="s">
        <v>360</v>
      </c>
      <c r="F95" s="8" t="s">
        <v>361</v>
      </c>
      <c r="G95" s="8">
        <v>18661</v>
      </c>
      <c r="H95" s="10">
        <f>(G95/(2008347/82))*100</f>
        <v>76.192112219651278</v>
      </c>
      <c r="I95" s="10" t="s">
        <v>3</v>
      </c>
      <c r="J95" s="9">
        <v>0.6</v>
      </c>
      <c r="K95" s="9">
        <v>3</v>
      </c>
      <c r="L95" s="9">
        <v>3.3</v>
      </c>
      <c r="M95" s="9">
        <v>0.3</v>
      </c>
      <c r="N95" s="9">
        <v>91.1</v>
      </c>
      <c r="O95" s="9">
        <v>1.7</v>
      </c>
      <c r="P95" s="8" t="s">
        <v>361</v>
      </c>
      <c r="Q95" s="8" t="s">
        <v>356</v>
      </c>
      <c r="T95" s="8">
        <v>13638</v>
      </c>
      <c r="U95" s="8">
        <f t="shared" si="8"/>
        <v>-5023</v>
      </c>
      <c r="V95" s="10">
        <f t="shared" si="9"/>
        <v>67.227525920570514</v>
      </c>
      <c r="W95" s="10" t="s">
        <v>3</v>
      </c>
      <c r="X95" s="8">
        <v>0.6</v>
      </c>
      <c r="Y95" s="8">
        <v>3.7</v>
      </c>
      <c r="Z95" s="8">
        <v>3.2</v>
      </c>
      <c r="AA95" s="8">
        <v>0.3</v>
      </c>
      <c r="AB95" s="8">
        <v>90.9</v>
      </c>
      <c r="AC95" s="8">
        <f t="shared" si="10"/>
        <v>1.2999999999999972</v>
      </c>
    </row>
    <row r="96" spans="1:29" x14ac:dyDescent="0.35">
      <c r="A96" s="8" t="s">
        <v>362</v>
      </c>
      <c r="B96" s="8" t="s">
        <v>82</v>
      </c>
      <c r="C96" s="8" t="s">
        <v>355</v>
      </c>
      <c r="D96" s="8" t="s">
        <v>356</v>
      </c>
      <c r="E96" s="8" t="s">
        <v>363</v>
      </c>
      <c r="F96" s="8" t="s">
        <v>364</v>
      </c>
      <c r="G96" s="8">
        <v>16510</v>
      </c>
      <c r="H96" s="10">
        <f>(G96/(2008347/82))*100</f>
        <v>67.40966575995084</v>
      </c>
      <c r="I96" s="10" t="s">
        <v>3</v>
      </c>
      <c r="J96" s="9">
        <v>1</v>
      </c>
      <c r="K96" s="9">
        <v>2</v>
      </c>
      <c r="L96" s="9">
        <v>27.2</v>
      </c>
      <c r="M96" s="9">
        <v>0.5</v>
      </c>
      <c r="N96" s="9">
        <v>66.900000000000006</v>
      </c>
      <c r="O96" s="9">
        <v>2.4</v>
      </c>
      <c r="P96" s="8" t="s">
        <v>364</v>
      </c>
      <c r="Q96" s="8" t="s">
        <v>356</v>
      </c>
      <c r="T96" s="8">
        <v>11282</v>
      </c>
      <c r="U96" s="8">
        <f t="shared" si="8"/>
        <v>-5228</v>
      </c>
      <c r="V96" s="10">
        <f t="shared" si="9"/>
        <v>55.613795823132165</v>
      </c>
      <c r="W96" s="10" t="s">
        <v>3</v>
      </c>
      <c r="X96" s="8">
        <v>1.3</v>
      </c>
      <c r="Y96" s="8">
        <v>3.8</v>
      </c>
      <c r="Z96" s="8">
        <v>39.4</v>
      </c>
      <c r="AA96" s="8">
        <v>0.6</v>
      </c>
      <c r="AB96" s="8">
        <v>53.4</v>
      </c>
      <c r="AC96" s="8">
        <f t="shared" si="10"/>
        <v>1.5</v>
      </c>
    </row>
    <row r="97" spans="1:29" x14ac:dyDescent="0.35">
      <c r="J97" s="9"/>
      <c r="K97" s="9"/>
      <c r="L97" s="9"/>
      <c r="M97" s="9"/>
      <c r="N97" s="9"/>
      <c r="O97" s="9"/>
      <c r="P97" s="8" t="s">
        <v>60</v>
      </c>
      <c r="Q97" s="8" t="s">
        <v>356</v>
      </c>
      <c r="R97" s="8" t="s">
        <v>389</v>
      </c>
      <c r="T97" s="8">
        <v>13891</v>
      </c>
      <c r="V97" s="10">
        <f t="shared" si="9"/>
        <v>68.474670960745328</v>
      </c>
      <c r="W97" s="10" t="s">
        <v>3</v>
      </c>
      <c r="X97" s="8">
        <v>0.6</v>
      </c>
      <c r="Y97" s="8">
        <v>1.3</v>
      </c>
      <c r="Z97" s="8">
        <v>12.8</v>
      </c>
      <c r="AA97" s="8">
        <v>0.3</v>
      </c>
      <c r="AB97" s="8">
        <v>82.8</v>
      </c>
      <c r="AC97" s="8">
        <f t="shared" si="10"/>
        <v>2.2000000000000028</v>
      </c>
    </row>
    <row r="98" spans="1:29" x14ac:dyDescent="0.35">
      <c r="A98" s="8" t="s">
        <v>365</v>
      </c>
      <c r="B98" s="8" t="s">
        <v>82</v>
      </c>
      <c r="C98" s="8" t="s">
        <v>366</v>
      </c>
      <c r="D98" s="8" t="s">
        <v>367</v>
      </c>
      <c r="E98" s="8" t="s">
        <v>368</v>
      </c>
      <c r="F98" s="8" t="s">
        <v>369</v>
      </c>
      <c r="O98" s="9"/>
      <c r="P98" s="8" t="s">
        <v>369</v>
      </c>
      <c r="Q98" s="8" t="s">
        <v>367</v>
      </c>
    </row>
    <row r="99" spans="1:29" x14ac:dyDescent="0.35">
      <c r="A99" s="8" t="s">
        <v>370</v>
      </c>
      <c r="B99" s="8" t="s">
        <v>82</v>
      </c>
      <c r="C99" s="8" t="s">
        <v>366</v>
      </c>
      <c r="D99" s="8" t="s">
        <v>367</v>
      </c>
      <c r="E99" s="8" t="s">
        <v>371</v>
      </c>
      <c r="F99" s="8" t="s">
        <v>372</v>
      </c>
      <c r="O99" s="9"/>
      <c r="P99" s="8" t="s">
        <v>372</v>
      </c>
      <c r="Q99" s="8" t="s">
        <v>367</v>
      </c>
    </row>
    <row r="100" spans="1:29" x14ac:dyDescent="0.35">
      <c r="A100" s="8" t="s">
        <v>373</v>
      </c>
      <c r="B100" s="8" t="s">
        <v>82</v>
      </c>
      <c r="C100" s="8" t="s">
        <v>374</v>
      </c>
      <c r="D100" s="8" t="s">
        <v>375</v>
      </c>
      <c r="E100" s="8" t="s">
        <v>376</v>
      </c>
      <c r="F100" s="8" t="s">
        <v>79</v>
      </c>
      <c r="O100" s="9"/>
      <c r="P100" s="8" t="s">
        <v>80</v>
      </c>
      <c r="Q100" s="8" t="s">
        <v>375</v>
      </c>
      <c r="S100" s="8" t="s">
        <v>389</v>
      </c>
    </row>
    <row r="101" spans="1:29" x14ac:dyDescent="0.35">
      <c r="A101" s="8" t="s">
        <v>377</v>
      </c>
      <c r="B101" s="8" t="s">
        <v>82</v>
      </c>
      <c r="C101" s="8" t="s">
        <v>374</v>
      </c>
      <c r="D101" s="8" t="s">
        <v>375</v>
      </c>
      <c r="E101" s="8" t="s">
        <v>378</v>
      </c>
      <c r="F101" s="8" t="s">
        <v>379</v>
      </c>
      <c r="O101" s="9"/>
      <c r="P101" s="8" t="s">
        <v>379</v>
      </c>
      <c r="Q101" s="8" t="s">
        <v>375</v>
      </c>
    </row>
  </sheetData>
  <autoFilter ref="A1:AC101" xr:uid="{2E65A8FD-0A21-4742-A337-3AA3C741CF5D}"/>
  <conditionalFormatting sqref="J3:J101">
    <cfRule type="dataBar" priority="10">
      <dataBar>
        <cfvo type="min"/>
        <cfvo type="max"/>
        <color rgb="FF63C384"/>
      </dataBar>
      <extLst>
        <ext xmlns:x14="http://schemas.microsoft.com/office/spreadsheetml/2009/9/main" uri="{B025F937-C7B1-47D3-B67F-A62EFF666E3E}">
          <x14:id>{05867298-2461-4BF3-812E-C70E1F8C5193}</x14:id>
        </ext>
      </extLst>
    </cfRule>
  </conditionalFormatting>
  <conditionalFormatting sqref="K3:K101">
    <cfRule type="dataBar" priority="9">
      <dataBar>
        <cfvo type="min"/>
        <cfvo type="max"/>
        <color rgb="FFFF555A"/>
      </dataBar>
      <extLst>
        <ext xmlns:x14="http://schemas.microsoft.com/office/spreadsheetml/2009/9/main" uri="{B025F937-C7B1-47D3-B67F-A62EFF666E3E}">
          <x14:id>{92B47863-7571-4C32-9DB5-4B4D43305DFF}</x14:id>
        </ext>
      </extLst>
    </cfRule>
  </conditionalFormatting>
  <conditionalFormatting sqref="L3:L101">
    <cfRule type="dataBar" priority="8">
      <dataBar>
        <cfvo type="min"/>
        <cfvo type="max"/>
        <color rgb="FFFFB628"/>
      </dataBar>
      <extLst>
        <ext xmlns:x14="http://schemas.microsoft.com/office/spreadsheetml/2009/9/main" uri="{B025F937-C7B1-47D3-B67F-A62EFF666E3E}">
          <x14:id>{EBBF2936-FDB7-4257-BEFA-E7E65E85EEAC}</x14:id>
        </ext>
      </extLst>
    </cfRule>
  </conditionalFormatting>
  <conditionalFormatting sqref="M3:M101">
    <cfRule type="dataBar" priority="7">
      <dataBar>
        <cfvo type="min"/>
        <cfvo type="max"/>
        <color rgb="FFD6007B"/>
      </dataBar>
      <extLst>
        <ext xmlns:x14="http://schemas.microsoft.com/office/spreadsheetml/2009/9/main" uri="{B025F937-C7B1-47D3-B67F-A62EFF666E3E}">
          <x14:id>{35B01D8F-E328-455F-85D1-A0A2537C05B8}</x14:id>
        </ext>
      </extLst>
    </cfRule>
  </conditionalFormatting>
  <conditionalFormatting sqref="N3:N101">
    <cfRule type="dataBar" priority="6">
      <dataBar>
        <cfvo type="min"/>
        <cfvo type="max"/>
        <color rgb="FF008AEF"/>
      </dataBar>
      <extLst>
        <ext xmlns:x14="http://schemas.microsoft.com/office/spreadsheetml/2009/9/main" uri="{B025F937-C7B1-47D3-B67F-A62EFF666E3E}">
          <x14:id>{7D6D9D05-4EF6-4B7F-AF05-90D159A494A8}</x14:id>
        </ext>
      </extLst>
    </cfRule>
  </conditionalFormatting>
  <conditionalFormatting sqref="X3:X101">
    <cfRule type="dataBar" priority="5">
      <dataBar>
        <cfvo type="min"/>
        <cfvo type="max"/>
        <color rgb="FF63C384"/>
      </dataBar>
      <extLst>
        <ext xmlns:x14="http://schemas.microsoft.com/office/spreadsheetml/2009/9/main" uri="{B025F937-C7B1-47D3-B67F-A62EFF666E3E}">
          <x14:id>{22BA05B3-A24E-4888-830B-79461A95DF15}</x14:id>
        </ext>
      </extLst>
    </cfRule>
  </conditionalFormatting>
  <conditionalFormatting sqref="Y3:Y101">
    <cfRule type="dataBar" priority="4">
      <dataBar>
        <cfvo type="min"/>
        <cfvo type="max"/>
        <color rgb="FFFF555A"/>
      </dataBar>
      <extLst>
        <ext xmlns:x14="http://schemas.microsoft.com/office/spreadsheetml/2009/9/main" uri="{B025F937-C7B1-47D3-B67F-A62EFF666E3E}">
          <x14:id>{72ACFE4A-59D5-4F0D-9064-F890A5EDCF76}</x14:id>
        </ext>
      </extLst>
    </cfRule>
  </conditionalFormatting>
  <conditionalFormatting sqref="Z3:Z101">
    <cfRule type="dataBar" priority="3">
      <dataBar>
        <cfvo type="min"/>
        <cfvo type="max"/>
        <color rgb="FFFFB628"/>
      </dataBar>
      <extLst>
        <ext xmlns:x14="http://schemas.microsoft.com/office/spreadsheetml/2009/9/main" uri="{B025F937-C7B1-47D3-B67F-A62EFF666E3E}">
          <x14:id>{75638B17-C6D3-47C0-B8AE-ECDA09B313E1}</x14:id>
        </ext>
      </extLst>
    </cfRule>
  </conditionalFormatting>
  <conditionalFormatting sqref="AA3:AA101">
    <cfRule type="dataBar" priority="2">
      <dataBar>
        <cfvo type="min"/>
        <cfvo type="max"/>
        <color rgb="FFD6007B"/>
      </dataBar>
      <extLst>
        <ext xmlns:x14="http://schemas.microsoft.com/office/spreadsheetml/2009/9/main" uri="{B025F937-C7B1-47D3-B67F-A62EFF666E3E}">
          <x14:id>{DEF65540-13FD-4652-B52A-D5D3182544A9}</x14:id>
        </ext>
      </extLst>
    </cfRule>
  </conditionalFormatting>
  <conditionalFormatting sqref="AB3:AB101">
    <cfRule type="dataBar" priority="1">
      <dataBar>
        <cfvo type="min"/>
        <cfvo type="max"/>
        <color rgb="FF008AEF"/>
      </dataBar>
      <extLst>
        <ext xmlns:x14="http://schemas.microsoft.com/office/spreadsheetml/2009/9/main" uri="{B025F937-C7B1-47D3-B67F-A62EFF666E3E}">
          <x14:id>{DD9D6A9A-FBAD-4BDE-A377-823C3A7AF6DC}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5867298-2461-4BF3-812E-C70E1F8C5193}">
            <x14:dataBar minLength="0" maxLength="100" border="1" negativeBarBorderColorSameAsPositive="0">
              <x14:cfvo type="autoMin"/>
              <x14:cfvo type="autoMax"/>
              <x14:borderColor rgb="FF63C384"/>
              <x14:negativeFillColor rgb="FFFF0000"/>
              <x14:negativeBorderColor rgb="FFFF0000"/>
              <x14:axisColor rgb="FF000000"/>
            </x14:dataBar>
          </x14:cfRule>
          <xm:sqref>J3:J101</xm:sqref>
        </x14:conditionalFormatting>
        <x14:conditionalFormatting xmlns:xm="http://schemas.microsoft.com/office/excel/2006/main">
          <x14:cfRule type="dataBar" id="{92B47863-7571-4C32-9DB5-4B4D43305DFF}">
            <x14:dataBar minLength="0" maxLength="100" border="1" negativeBarBorderColorSameAsPositive="0">
              <x14:cfvo type="autoMin"/>
              <x14:cfvo type="autoMax"/>
              <x14:borderColor rgb="FFFF555A"/>
              <x14:negativeFillColor rgb="FFFF0000"/>
              <x14:negativeBorderColor rgb="FFFF0000"/>
              <x14:axisColor rgb="FF000000"/>
            </x14:dataBar>
          </x14:cfRule>
          <xm:sqref>K3:K101</xm:sqref>
        </x14:conditionalFormatting>
        <x14:conditionalFormatting xmlns:xm="http://schemas.microsoft.com/office/excel/2006/main">
          <x14:cfRule type="dataBar" id="{EBBF2936-FDB7-4257-BEFA-E7E65E85EEAC}">
            <x14:dataBar minLength="0" maxLength="100" border="1" negativeBarBorderColorSameAsPositive="0">
              <x14:cfvo type="autoMin"/>
              <x14:cfvo type="autoMax"/>
              <x14:borderColor rgb="FFFFB628"/>
              <x14:negativeFillColor rgb="FFFF0000"/>
              <x14:negativeBorderColor rgb="FFFF0000"/>
              <x14:axisColor rgb="FF000000"/>
            </x14:dataBar>
          </x14:cfRule>
          <xm:sqref>L3:L101</xm:sqref>
        </x14:conditionalFormatting>
        <x14:conditionalFormatting xmlns:xm="http://schemas.microsoft.com/office/excel/2006/main">
          <x14:cfRule type="dataBar" id="{35B01D8F-E328-455F-85D1-A0A2537C05B8}">
            <x14:dataBar minLength="0" maxLength="100" border="1" negativeBarBorderColorSameAsPositive="0">
              <x14:cfvo type="autoMin"/>
              <x14:cfvo type="autoMax"/>
              <x14:borderColor rgb="FFD6007B"/>
              <x14:negativeFillColor rgb="FFFF0000"/>
              <x14:negativeBorderColor rgb="FFFF0000"/>
              <x14:axisColor rgb="FF000000"/>
            </x14:dataBar>
          </x14:cfRule>
          <xm:sqref>M3:M101</xm:sqref>
        </x14:conditionalFormatting>
        <x14:conditionalFormatting xmlns:xm="http://schemas.microsoft.com/office/excel/2006/main">
          <x14:cfRule type="dataBar" id="{7D6D9D05-4EF6-4B7F-AF05-90D159A494A8}">
            <x14:dataBar minLength="0" maxLength="100" border="1" negativeBarBorderColorSameAsPositive="0">
              <x14:cfvo type="autoMin"/>
              <x14:cfvo type="autoMax"/>
              <x14:borderColor rgb="FF008AEF"/>
              <x14:negativeFillColor rgb="FFFF0000"/>
              <x14:negativeBorderColor rgb="FFFF0000"/>
              <x14:axisColor rgb="FF000000"/>
            </x14:dataBar>
          </x14:cfRule>
          <xm:sqref>N3:N101</xm:sqref>
        </x14:conditionalFormatting>
        <x14:conditionalFormatting xmlns:xm="http://schemas.microsoft.com/office/excel/2006/main">
          <x14:cfRule type="dataBar" id="{22BA05B3-A24E-4888-830B-79461A95DF15}">
            <x14:dataBar minLength="0" maxLength="100" border="1" negativeBarBorderColorSameAsPositive="0">
              <x14:cfvo type="autoMin"/>
              <x14:cfvo type="autoMax"/>
              <x14:borderColor rgb="FF63C384"/>
              <x14:negativeFillColor rgb="FFFF0000"/>
              <x14:negativeBorderColor rgb="FFFF0000"/>
              <x14:axisColor rgb="FF000000"/>
            </x14:dataBar>
          </x14:cfRule>
          <xm:sqref>X3:X101</xm:sqref>
        </x14:conditionalFormatting>
        <x14:conditionalFormatting xmlns:xm="http://schemas.microsoft.com/office/excel/2006/main">
          <x14:cfRule type="dataBar" id="{72ACFE4A-59D5-4F0D-9064-F890A5EDCF76}">
            <x14:dataBar minLength="0" maxLength="100" border="1" negativeBarBorderColorSameAsPositive="0">
              <x14:cfvo type="autoMin"/>
              <x14:cfvo type="autoMax"/>
              <x14:borderColor rgb="FFFF555A"/>
              <x14:negativeFillColor rgb="FFFF0000"/>
              <x14:negativeBorderColor rgb="FFFF0000"/>
              <x14:axisColor rgb="FF000000"/>
            </x14:dataBar>
          </x14:cfRule>
          <xm:sqref>Y3:Y101</xm:sqref>
        </x14:conditionalFormatting>
        <x14:conditionalFormatting xmlns:xm="http://schemas.microsoft.com/office/excel/2006/main">
          <x14:cfRule type="dataBar" id="{75638B17-C6D3-47C0-B8AE-ECDA09B313E1}">
            <x14:dataBar minLength="0" maxLength="100" border="1" negativeBarBorderColorSameAsPositive="0">
              <x14:cfvo type="autoMin"/>
              <x14:cfvo type="autoMax"/>
              <x14:borderColor rgb="FFFFB628"/>
              <x14:negativeFillColor rgb="FFFF0000"/>
              <x14:negativeBorderColor rgb="FFFF0000"/>
              <x14:axisColor rgb="FF000000"/>
            </x14:dataBar>
          </x14:cfRule>
          <xm:sqref>Z3:Z101</xm:sqref>
        </x14:conditionalFormatting>
        <x14:conditionalFormatting xmlns:xm="http://schemas.microsoft.com/office/excel/2006/main">
          <x14:cfRule type="dataBar" id="{DEF65540-13FD-4652-B52A-D5D3182544A9}">
            <x14:dataBar minLength="0" maxLength="100" border="1" negativeBarBorderColorSameAsPositive="0">
              <x14:cfvo type="autoMin"/>
              <x14:cfvo type="autoMax"/>
              <x14:borderColor rgb="FFD6007B"/>
              <x14:negativeFillColor rgb="FFFF0000"/>
              <x14:negativeBorderColor rgb="FFFF0000"/>
              <x14:axisColor rgb="FF000000"/>
            </x14:dataBar>
          </x14:cfRule>
          <xm:sqref>AA3:AA101</xm:sqref>
        </x14:conditionalFormatting>
        <x14:conditionalFormatting xmlns:xm="http://schemas.microsoft.com/office/excel/2006/main">
          <x14:cfRule type="dataBar" id="{DD9D6A9A-FBAD-4BDE-A377-823C3A7AF6DC}">
            <x14:dataBar minLength="0" maxLength="100" border="1" negativeBarBorderColorSameAsPositive="0">
              <x14:cfvo type="autoMin"/>
              <x14:cfvo type="autoMax"/>
              <x14:borderColor rgb="FF008AEF"/>
              <x14:negativeFillColor rgb="FFFF0000"/>
              <x14:negativeBorderColor rgb="FFFF0000"/>
              <x14:axisColor rgb="FF000000"/>
            </x14:dataBar>
          </x14:cfRule>
          <xm:sqref>AB3:AB101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AC62-0220-410E-AE02-62F4290F0D0F}">
  <dimension ref="A1:R1045"/>
  <sheetViews>
    <sheetView zoomScale="42" zoomScaleNormal="42" workbookViewId="0">
      <pane ySplit="2" topLeftCell="A3" activePane="bottomLeft" state="frozen"/>
      <selection pane="bottomLeft"/>
    </sheetView>
  </sheetViews>
  <sheetFormatPr defaultRowHeight="14.5" x14ac:dyDescent="0.35"/>
  <cols>
    <col min="1" max="1" width="8.81640625" bestFit="1" customWidth="1"/>
    <col min="2" max="2" width="27.08984375" bestFit="1" customWidth="1"/>
    <col min="3" max="3" width="27" bestFit="1" customWidth="1"/>
    <col min="4" max="4" width="39.26953125" bestFit="1" customWidth="1"/>
    <col min="5" max="5" width="39.1796875" bestFit="1" customWidth="1"/>
    <col min="6" max="6" width="30.453125" bestFit="1" customWidth="1"/>
    <col min="7" max="7" width="30.36328125" bestFit="1" customWidth="1"/>
    <col min="8" max="8" width="36.90625" bestFit="1" customWidth="1"/>
    <col min="9" max="9" width="36.81640625" bestFit="1" customWidth="1"/>
    <col min="10" max="10" width="36.81640625" customWidth="1"/>
    <col min="11" max="11" width="40.54296875" customWidth="1"/>
    <col min="12" max="12" width="49.08984375" bestFit="1" customWidth="1"/>
    <col min="13" max="13" width="49" customWidth="1"/>
    <col min="14" max="14" width="27.1796875" bestFit="1" customWidth="1"/>
    <col min="15" max="15" width="49" customWidth="1"/>
    <col min="16" max="16" width="90.1796875" bestFit="1" customWidth="1"/>
  </cols>
  <sheetData>
    <row r="1" spans="1:18" x14ac:dyDescent="0.35">
      <c r="A1" s="13" t="s">
        <v>395</v>
      </c>
      <c r="B1" s="13" t="s">
        <v>2098</v>
      </c>
      <c r="C1" s="13" t="s">
        <v>2099</v>
      </c>
      <c r="D1" s="13" t="s">
        <v>383</v>
      </c>
      <c r="E1" s="13" t="s">
        <v>382</v>
      </c>
      <c r="F1" s="13" t="s">
        <v>384</v>
      </c>
      <c r="G1" s="13" t="s">
        <v>385</v>
      </c>
      <c r="H1" s="13" t="s">
        <v>2101</v>
      </c>
      <c r="I1" s="13" t="s">
        <v>2100</v>
      </c>
      <c r="J1" s="13" t="s">
        <v>390</v>
      </c>
      <c r="K1" s="13" t="s">
        <v>391</v>
      </c>
      <c r="L1" s="13" t="s">
        <v>392</v>
      </c>
      <c r="M1" s="13" t="s">
        <v>393</v>
      </c>
      <c r="N1" s="13" t="s">
        <v>2245</v>
      </c>
      <c r="O1" s="13" t="s">
        <v>2246</v>
      </c>
      <c r="P1" s="13" t="s">
        <v>2460</v>
      </c>
      <c r="Q1" s="13" t="s">
        <v>2268</v>
      </c>
      <c r="R1" s="13" t="s">
        <v>2269</v>
      </c>
    </row>
    <row r="2" spans="1:18" s="40" customFormat="1" x14ac:dyDescent="0.35">
      <c r="A2" s="43" t="s">
        <v>2438</v>
      </c>
      <c r="B2" s="43" t="s">
        <v>2453</v>
      </c>
      <c r="C2" s="43" t="s">
        <v>2454</v>
      </c>
      <c r="D2" s="43" t="s">
        <v>2426</v>
      </c>
      <c r="E2" s="43" t="s">
        <v>2427</v>
      </c>
      <c r="F2" s="43" t="s">
        <v>2443</v>
      </c>
      <c r="G2" s="43" t="s">
        <v>2444</v>
      </c>
      <c r="H2" s="44" t="s">
        <v>2447</v>
      </c>
      <c r="I2" s="44" t="s">
        <v>2455</v>
      </c>
      <c r="J2" s="44" t="s">
        <v>2447</v>
      </c>
      <c r="K2" s="44" t="s">
        <v>2448</v>
      </c>
      <c r="L2" s="44" t="s">
        <v>2434</v>
      </c>
      <c r="M2" s="44" t="s">
        <v>2435</v>
      </c>
      <c r="N2" s="44" t="s">
        <v>2456</v>
      </c>
      <c r="O2" s="44" t="s">
        <v>2457</v>
      </c>
      <c r="P2" s="44" t="s">
        <v>2461</v>
      </c>
      <c r="Q2" s="44"/>
      <c r="R2" s="44"/>
    </row>
    <row r="3" spans="1:18" x14ac:dyDescent="0.35">
      <c r="A3" s="37" t="s">
        <v>82</v>
      </c>
      <c r="B3" s="37" t="s">
        <v>406</v>
      </c>
      <c r="C3" s="37" t="s">
        <v>407</v>
      </c>
      <c r="D3" s="37" t="s">
        <v>83</v>
      </c>
      <c r="E3" s="37" t="s">
        <v>84</v>
      </c>
      <c r="F3" s="37" t="s">
        <v>85</v>
      </c>
      <c r="G3" s="37" t="s">
        <v>61</v>
      </c>
      <c r="I3" t="s">
        <v>407</v>
      </c>
      <c r="K3" t="s">
        <v>62</v>
      </c>
      <c r="L3" t="s">
        <v>83</v>
      </c>
      <c r="M3" t="s">
        <v>84</v>
      </c>
      <c r="N3" t="s">
        <v>2459</v>
      </c>
      <c r="O3" t="s">
        <v>2459</v>
      </c>
      <c r="P3" t="s">
        <v>2257</v>
      </c>
      <c r="Q3" t="e">
        <f>MATCH(G3,K3,0)</f>
        <v>#N/A</v>
      </c>
      <c r="R3">
        <f>MATCH(E3,M3,0)</f>
        <v>1</v>
      </c>
    </row>
    <row r="4" spans="1:18" x14ac:dyDescent="0.35">
      <c r="A4" s="11" t="s">
        <v>82</v>
      </c>
      <c r="B4" s="11" t="s">
        <v>408</v>
      </c>
      <c r="C4" s="11" t="s">
        <v>409</v>
      </c>
      <c r="D4" s="11" t="s">
        <v>83</v>
      </c>
      <c r="E4" s="11" t="s">
        <v>84</v>
      </c>
      <c r="F4" s="11" t="s">
        <v>85</v>
      </c>
      <c r="G4" s="11" t="s">
        <v>61</v>
      </c>
      <c r="I4" t="s">
        <v>409</v>
      </c>
      <c r="K4" t="s">
        <v>62</v>
      </c>
      <c r="L4" t="s">
        <v>83</v>
      </c>
      <c r="M4" t="s">
        <v>84</v>
      </c>
      <c r="N4" t="s">
        <v>2459</v>
      </c>
      <c r="O4" t="s">
        <v>2459</v>
      </c>
      <c r="P4" t="s">
        <v>2257</v>
      </c>
      <c r="Q4" t="e">
        <f t="shared" ref="Q4:Q67" si="0">MATCH(G4,K4,0)</f>
        <v>#N/A</v>
      </c>
      <c r="R4">
        <f t="shared" ref="R4:R67" si="1">MATCH(E4,M4,0)</f>
        <v>1</v>
      </c>
    </row>
    <row r="5" spans="1:18" x14ac:dyDescent="0.35">
      <c r="A5" s="11" t="s">
        <v>82</v>
      </c>
      <c r="B5" s="11" t="s">
        <v>410</v>
      </c>
      <c r="C5" s="11" t="s">
        <v>411</v>
      </c>
      <c r="D5" s="11" t="s">
        <v>83</v>
      </c>
      <c r="E5" s="11" t="s">
        <v>84</v>
      </c>
      <c r="F5" s="11" t="s">
        <v>85</v>
      </c>
      <c r="G5" s="11" t="s">
        <v>61</v>
      </c>
      <c r="I5" t="s">
        <v>411</v>
      </c>
      <c r="K5" t="s">
        <v>62</v>
      </c>
      <c r="L5" t="s">
        <v>83</v>
      </c>
      <c r="M5" t="s">
        <v>84</v>
      </c>
      <c r="N5" t="s">
        <v>2459</v>
      </c>
      <c r="O5" t="s">
        <v>2459</v>
      </c>
      <c r="P5" t="s">
        <v>2257</v>
      </c>
      <c r="Q5" t="e">
        <f t="shared" si="0"/>
        <v>#N/A</v>
      </c>
      <c r="R5">
        <f t="shared" si="1"/>
        <v>1</v>
      </c>
    </row>
    <row r="6" spans="1:18" x14ac:dyDescent="0.35">
      <c r="A6" s="11" t="s">
        <v>82</v>
      </c>
      <c r="B6" s="11" t="s">
        <v>412</v>
      </c>
      <c r="C6" s="11" t="s">
        <v>413</v>
      </c>
      <c r="D6" s="11" t="s">
        <v>83</v>
      </c>
      <c r="E6" s="11" t="s">
        <v>84</v>
      </c>
      <c r="F6" s="11" t="s">
        <v>85</v>
      </c>
      <c r="G6" s="11" t="s">
        <v>61</v>
      </c>
      <c r="I6" t="s">
        <v>413</v>
      </c>
      <c r="K6" t="s">
        <v>62</v>
      </c>
      <c r="L6" t="s">
        <v>83</v>
      </c>
      <c r="M6" t="s">
        <v>84</v>
      </c>
      <c r="N6" t="s">
        <v>2459</v>
      </c>
      <c r="O6" t="s">
        <v>2459</v>
      </c>
      <c r="P6" t="s">
        <v>2257</v>
      </c>
      <c r="Q6" t="e">
        <f t="shared" si="0"/>
        <v>#N/A</v>
      </c>
      <c r="R6">
        <f t="shared" si="1"/>
        <v>1</v>
      </c>
    </row>
    <row r="7" spans="1:18" x14ac:dyDescent="0.35">
      <c r="A7" s="11" t="s">
        <v>82</v>
      </c>
      <c r="B7" s="11" t="s">
        <v>414</v>
      </c>
      <c r="C7" s="11" t="s">
        <v>415</v>
      </c>
      <c r="D7" s="11" t="s">
        <v>83</v>
      </c>
      <c r="E7" s="11" t="s">
        <v>84</v>
      </c>
      <c r="F7" s="11" t="s">
        <v>85</v>
      </c>
      <c r="G7" s="11" t="s">
        <v>61</v>
      </c>
      <c r="I7" t="s">
        <v>415</v>
      </c>
      <c r="K7" t="s">
        <v>62</v>
      </c>
      <c r="L7" t="s">
        <v>83</v>
      </c>
      <c r="M7" t="s">
        <v>84</v>
      </c>
      <c r="N7" t="s">
        <v>2459</v>
      </c>
      <c r="O7" t="s">
        <v>2459</v>
      </c>
      <c r="P7" t="s">
        <v>2257</v>
      </c>
      <c r="Q7" t="e">
        <f t="shared" si="0"/>
        <v>#N/A</v>
      </c>
      <c r="R7">
        <f t="shared" si="1"/>
        <v>1</v>
      </c>
    </row>
    <row r="8" spans="1:18" x14ac:dyDescent="0.35">
      <c r="A8" s="11" t="s">
        <v>82</v>
      </c>
      <c r="B8" s="11" t="s">
        <v>416</v>
      </c>
      <c r="C8" s="11" t="s">
        <v>61</v>
      </c>
      <c r="D8" s="11" t="s">
        <v>83</v>
      </c>
      <c r="E8" s="11" t="s">
        <v>84</v>
      </c>
      <c r="F8" s="11" t="s">
        <v>85</v>
      </c>
      <c r="G8" s="11" t="s">
        <v>61</v>
      </c>
      <c r="I8" t="s">
        <v>61</v>
      </c>
      <c r="K8" t="s">
        <v>44</v>
      </c>
      <c r="L8" t="s">
        <v>83</v>
      </c>
      <c r="M8" t="s">
        <v>84</v>
      </c>
      <c r="N8" t="s">
        <v>2410</v>
      </c>
      <c r="O8" t="s">
        <v>2459</v>
      </c>
      <c r="Q8" t="e">
        <f t="shared" si="0"/>
        <v>#N/A</v>
      </c>
      <c r="R8">
        <f t="shared" si="1"/>
        <v>1</v>
      </c>
    </row>
    <row r="9" spans="1:18" x14ac:dyDescent="0.35">
      <c r="A9" s="11" t="s">
        <v>82</v>
      </c>
      <c r="B9" s="11" t="s">
        <v>417</v>
      </c>
      <c r="C9" s="11" t="s">
        <v>62</v>
      </c>
      <c r="D9" s="11" t="s">
        <v>83</v>
      </c>
      <c r="E9" s="11" t="s">
        <v>84</v>
      </c>
      <c r="F9" s="11" t="s">
        <v>85</v>
      </c>
      <c r="G9" s="11" t="s">
        <v>61</v>
      </c>
      <c r="I9" t="s">
        <v>62</v>
      </c>
      <c r="K9" t="s">
        <v>62</v>
      </c>
      <c r="L9" t="s">
        <v>83</v>
      </c>
      <c r="M9" t="s">
        <v>84</v>
      </c>
      <c r="N9" t="s">
        <v>2459</v>
      </c>
      <c r="O9" t="s">
        <v>2459</v>
      </c>
      <c r="P9" t="s">
        <v>2257</v>
      </c>
      <c r="Q9" t="e">
        <f t="shared" si="0"/>
        <v>#N/A</v>
      </c>
      <c r="R9">
        <f t="shared" si="1"/>
        <v>1</v>
      </c>
    </row>
    <row r="10" spans="1:18" x14ac:dyDescent="0.35">
      <c r="A10" s="11" t="s">
        <v>82</v>
      </c>
      <c r="B10" s="11" t="s">
        <v>418</v>
      </c>
      <c r="C10" s="11" t="s">
        <v>419</v>
      </c>
      <c r="D10" s="11" t="s">
        <v>83</v>
      </c>
      <c r="E10" s="11" t="s">
        <v>84</v>
      </c>
      <c r="F10" s="11" t="s">
        <v>85</v>
      </c>
      <c r="G10" s="11" t="s">
        <v>61</v>
      </c>
      <c r="I10" t="s">
        <v>419</v>
      </c>
      <c r="K10" t="s">
        <v>62</v>
      </c>
      <c r="L10" t="s">
        <v>83</v>
      </c>
      <c r="M10" t="s">
        <v>84</v>
      </c>
      <c r="N10" t="s">
        <v>2459</v>
      </c>
      <c r="O10" t="s">
        <v>2459</v>
      </c>
      <c r="P10" t="s">
        <v>2257</v>
      </c>
      <c r="Q10" t="e">
        <f t="shared" si="0"/>
        <v>#N/A</v>
      </c>
      <c r="R10">
        <f t="shared" si="1"/>
        <v>1</v>
      </c>
    </row>
    <row r="11" spans="1:18" x14ac:dyDescent="0.35">
      <c r="A11" s="11" t="s">
        <v>82</v>
      </c>
      <c r="B11" s="11" t="s">
        <v>420</v>
      </c>
      <c r="C11" s="11" t="s">
        <v>421</v>
      </c>
      <c r="D11" s="11" t="s">
        <v>83</v>
      </c>
      <c r="E11" s="11" t="s">
        <v>84</v>
      </c>
      <c r="F11" s="11" t="s">
        <v>85</v>
      </c>
      <c r="G11" s="11" t="s">
        <v>61</v>
      </c>
      <c r="I11" t="s">
        <v>421</v>
      </c>
      <c r="K11" t="s">
        <v>62</v>
      </c>
      <c r="L11" t="s">
        <v>83</v>
      </c>
      <c r="M11" t="s">
        <v>84</v>
      </c>
      <c r="N11" t="s">
        <v>2459</v>
      </c>
      <c r="O11" t="s">
        <v>2459</v>
      </c>
      <c r="P11" t="s">
        <v>2257</v>
      </c>
      <c r="Q11" t="e">
        <f t="shared" si="0"/>
        <v>#N/A</v>
      </c>
      <c r="R11">
        <f t="shared" si="1"/>
        <v>1</v>
      </c>
    </row>
    <row r="12" spans="1:18" x14ac:dyDescent="0.35">
      <c r="A12" s="11" t="s">
        <v>82</v>
      </c>
      <c r="B12" s="11" t="s">
        <v>422</v>
      </c>
      <c r="C12" s="11" t="s">
        <v>423</v>
      </c>
      <c r="D12" s="11" t="s">
        <v>83</v>
      </c>
      <c r="E12" s="11" t="s">
        <v>84</v>
      </c>
      <c r="F12" s="11" t="s">
        <v>85</v>
      </c>
      <c r="G12" s="11" t="s">
        <v>61</v>
      </c>
      <c r="I12" t="s">
        <v>423</v>
      </c>
      <c r="K12" t="s">
        <v>62</v>
      </c>
      <c r="L12" t="s">
        <v>83</v>
      </c>
      <c r="M12" t="s">
        <v>84</v>
      </c>
      <c r="N12" t="s">
        <v>2459</v>
      </c>
      <c r="O12" t="s">
        <v>2459</v>
      </c>
      <c r="P12" t="s">
        <v>2257</v>
      </c>
      <c r="Q12" t="e">
        <f t="shared" si="0"/>
        <v>#N/A</v>
      </c>
      <c r="R12">
        <f t="shared" si="1"/>
        <v>1</v>
      </c>
    </row>
    <row r="13" spans="1:18" x14ac:dyDescent="0.35">
      <c r="A13" s="11" t="s">
        <v>82</v>
      </c>
      <c r="B13" s="11" t="s">
        <v>424</v>
      </c>
      <c r="C13" s="11" t="s">
        <v>425</v>
      </c>
      <c r="D13" s="11" t="s">
        <v>83</v>
      </c>
      <c r="E13" s="11" t="s">
        <v>84</v>
      </c>
      <c r="F13" s="11" t="s">
        <v>85</v>
      </c>
      <c r="G13" s="11" t="s">
        <v>61</v>
      </c>
      <c r="I13" t="s">
        <v>425</v>
      </c>
      <c r="K13" t="s">
        <v>62</v>
      </c>
      <c r="L13" t="s">
        <v>83</v>
      </c>
      <c r="M13" t="s">
        <v>84</v>
      </c>
      <c r="N13" t="s">
        <v>2459</v>
      </c>
      <c r="O13" t="s">
        <v>2459</v>
      </c>
      <c r="P13" t="s">
        <v>2257</v>
      </c>
      <c r="Q13" t="e">
        <f t="shared" si="0"/>
        <v>#N/A</v>
      </c>
      <c r="R13">
        <f t="shared" si="1"/>
        <v>1</v>
      </c>
    </row>
    <row r="14" spans="1:18" x14ac:dyDescent="0.35">
      <c r="A14" s="11" t="s">
        <v>82</v>
      </c>
      <c r="B14" s="11" t="s">
        <v>426</v>
      </c>
      <c r="C14" s="11" t="s">
        <v>427</v>
      </c>
      <c r="D14" s="11" t="s">
        <v>83</v>
      </c>
      <c r="E14" s="11" t="s">
        <v>84</v>
      </c>
      <c r="F14" s="11" t="s">
        <v>85</v>
      </c>
      <c r="G14" s="11" t="s">
        <v>61</v>
      </c>
      <c r="I14" t="s">
        <v>427</v>
      </c>
      <c r="K14" t="s">
        <v>62</v>
      </c>
      <c r="L14" t="s">
        <v>83</v>
      </c>
      <c r="M14" t="s">
        <v>84</v>
      </c>
      <c r="N14" t="s">
        <v>2459</v>
      </c>
      <c r="O14" t="s">
        <v>2459</v>
      </c>
      <c r="P14" t="s">
        <v>2257</v>
      </c>
      <c r="Q14" t="e">
        <f t="shared" si="0"/>
        <v>#N/A</v>
      </c>
      <c r="R14">
        <f t="shared" si="1"/>
        <v>1</v>
      </c>
    </row>
    <row r="15" spans="1:18" x14ac:dyDescent="0.35">
      <c r="A15" s="11" t="s">
        <v>82</v>
      </c>
      <c r="B15" s="11" t="s">
        <v>428</v>
      </c>
      <c r="C15" s="11" t="s">
        <v>429</v>
      </c>
      <c r="D15" s="11" t="s">
        <v>83</v>
      </c>
      <c r="E15" s="11" t="s">
        <v>84</v>
      </c>
      <c r="F15" s="11" t="s">
        <v>85</v>
      </c>
      <c r="G15" s="11" t="s">
        <v>61</v>
      </c>
      <c r="I15" t="s">
        <v>429</v>
      </c>
      <c r="K15" t="s">
        <v>62</v>
      </c>
      <c r="L15" t="s">
        <v>83</v>
      </c>
      <c r="M15" t="s">
        <v>84</v>
      </c>
      <c r="N15" t="s">
        <v>2459</v>
      </c>
      <c r="O15" t="s">
        <v>2459</v>
      </c>
      <c r="P15" t="s">
        <v>2257</v>
      </c>
      <c r="Q15" t="e">
        <f t="shared" si="0"/>
        <v>#N/A</v>
      </c>
      <c r="R15">
        <f t="shared" si="1"/>
        <v>1</v>
      </c>
    </row>
    <row r="16" spans="1:18" x14ac:dyDescent="0.35">
      <c r="A16" s="11" t="s">
        <v>82</v>
      </c>
      <c r="B16" s="11" t="s">
        <v>430</v>
      </c>
      <c r="C16" s="11" t="s">
        <v>431</v>
      </c>
      <c r="D16" s="11" t="s">
        <v>83</v>
      </c>
      <c r="E16" s="11" t="s">
        <v>84</v>
      </c>
      <c r="F16" s="11" t="s">
        <v>85</v>
      </c>
      <c r="G16" s="11" t="s">
        <v>61</v>
      </c>
      <c r="I16" t="s">
        <v>431</v>
      </c>
      <c r="K16" t="s">
        <v>62</v>
      </c>
      <c r="L16" t="s">
        <v>83</v>
      </c>
      <c r="M16" t="s">
        <v>84</v>
      </c>
      <c r="N16" t="s">
        <v>2459</v>
      </c>
      <c r="O16" t="s">
        <v>2459</v>
      </c>
      <c r="P16" t="s">
        <v>2257</v>
      </c>
      <c r="Q16" t="e">
        <f t="shared" si="0"/>
        <v>#N/A</v>
      </c>
      <c r="R16">
        <f t="shared" si="1"/>
        <v>1</v>
      </c>
    </row>
    <row r="17" spans="1:18" x14ac:dyDescent="0.35">
      <c r="A17" s="11" t="s">
        <v>82</v>
      </c>
      <c r="B17" s="11" t="s">
        <v>432</v>
      </c>
      <c r="C17" s="11" t="s">
        <v>433</v>
      </c>
      <c r="D17" s="11" t="s">
        <v>83</v>
      </c>
      <c r="E17" s="11" t="s">
        <v>84</v>
      </c>
      <c r="F17" s="11" t="s">
        <v>85</v>
      </c>
      <c r="G17" s="11" t="s">
        <v>61</v>
      </c>
      <c r="I17" t="s">
        <v>433</v>
      </c>
      <c r="K17" t="s">
        <v>62</v>
      </c>
      <c r="L17" t="s">
        <v>83</v>
      </c>
      <c r="M17" t="s">
        <v>84</v>
      </c>
      <c r="N17" t="s">
        <v>2459</v>
      </c>
      <c r="O17" t="s">
        <v>2459</v>
      </c>
      <c r="P17" t="s">
        <v>2257</v>
      </c>
      <c r="Q17" t="e">
        <f t="shared" si="0"/>
        <v>#N/A</v>
      </c>
      <c r="R17">
        <f t="shared" si="1"/>
        <v>1</v>
      </c>
    </row>
    <row r="18" spans="1:18" x14ac:dyDescent="0.35">
      <c r="A18" s="11" t="s">
        <v>82</v>
      </c>
      <c r="B18" s="11" t="s">
        <v>434</v>
      </c>
      <c r="C18" s="11" t="s">
        <v>435</v>
      </c>
      <c r="D18" s="11" t="s">
        <v>83</v>
      </c>
      <c r="E18" s="11" t="s">
        <v>84</v>
      </c>
      <c r="F18" s="11" t="s">
        <v>85</v>
      </c>
      <c r="G18" s="11" t="s">
        <v>61</v>
      </c>
      <c r="I18" t="s">
        <v>435</v>
      </c>
      <c r="K18" t="s">
        <v>62</v>
      </c>
      <c r="L18" t="s">
        <v>83</v>
      </c>
      <c r="M18" t="s">
        <v>84</v>
      </c>
      <c r="N18" t="s">
        <v>2459</v>
      </c>
      <c r="O18" t="s">
        <v>2459</v>
      </c>
      <c r="P18" t="s">
        <v>2257</v>
      </c>
      <c r="Q18" t="e">
        <f t="shared" si="0"/>
        <v>#N/A</v>
      </c>
      <c r="R18">
        <f t="shared" si="1"/>
        <v>1</v>
      </c>
    </row>
    <row r="19" spans="1:18" x14ac:dyDescent="0.35">
      <c r="A19" s="11" t="s">
        <v>82</v>
      </c>
      <c r="B19" s="11" t="s">
        <v>436</v>
      </c>
      <c r="C19" s="11" t="s">
        <v>437</v>
      </c>
      <c r="D19" s="11" t="s">
        <v>83</v>
      </c>
      <c r="E19" s="11" t="s">
        <v>84</v>
      </c>
      <c r="F19" s="11" t="s">
        <v>85</v>
      </c>
      <c r="G19" s="11" t="s">
        <v>61</v>
      </c>
      <c r="I19" t="s">
        <v>437</v>
      </c>
      <c r="K19" t="s">
        <v>62</v>
      </c>
      <c r="L19" t="s">
        <v>83</v>
      </c>
      <c r="M19" t="s">
        <v>84</v>
      </c>
      <c r="N19" t="s">
        <v>2459</v>
      </c>
      <c r="O19" t="s">
        <v>2459</v>
      </c>
      <c r="P19" t="s">
        <v>2257</v>
      </c>
      <c r="Q19" t="e">
        <f t="shared" si="0"/>
        <v>#N/A</v>
      </c>
      <c r="R19">
        <f t="shared" si="1"/>
        <v>1</v>
      </c>
    </row>
    <row r="20" spans="1:18" x14ac:dyDescent="0.35">
      <c r="A20" s="11" t="s">
        <v>82</v>
      </c>
      <c r="B20" s="11" t="s">
        <v>438</v>
      </c>
      <c r="C20" s="11" t="s">
        <v>439</v>
      </c>
      <c r="D20" s="11" t="s">
        <v>83</v>
      </c>
      <c r="E20" s="11" t="s">
        <v>84</v>
      </c>
      <c r="F20" s="11" t="s">
        <v>85</v>
      </c>
      <c r="G20" s="11" t="s">
        <v>61</v>
      </c>
      <c r="I20" t="s">
        <v>439</v>
      </c>
      <c r="K20" t="s">
        <v>62</v>
      </c>
      <c r="L20" t="s">
        <v>83</v>
      </c>
      <c r="M20" t="s">
        <v>84</v>
      </c>
      <c r="N20" t="s">
        <v>2459</v>
      </c>
      <c r="O20" t="s">
        <v>2459</v>
      </c>
      <c r="P20" t="s">
        <v>2257</v>
      </c>
      <c r="Q20" t="e">
        <f t="shared" si="0"/>
        <v>#N/A</v>
      </c>
      <c r="R20">
        <f t="shared" si="1"/>
        <v>1</v>
      </c>
    </row>
    <row r="21" spans="1:18" x14ac:dyDescent="0.35">
      <c r="A21" s="11" t="s">
        <v>82</v>
      </c>
      <c r="B21" s="11" t="s">
        <v>440</v>
      </c>
      <c r="C21" s="11" t="s">
        <v>441</v>
      </c>
      <c r="D21" s="11" t="s">
        <v>83</v>
      </c>
      <c r="E21" s="11" t="s">
        <v>84</v>
      </c>
      <c r="F21" s="11" t="s">
        <v>85</v>
      </c>
      <c r="G21" s="11" t="s">
        <v>61</v>
      </c>
      <c r="I21" t="s">
        <v>441</v>
      </c>
      <c r="K21" t="s">
        <v>62</v>
      </c>
      <c r="L21" t="s">
        <v>83</v>
      </c>
      <c r="M21" t="s">
        <v>84</v>
      </c>
      <c r="N21" t="s">
        <v>2459</v>
      </c>
      <c r="O21" t="s">
        <v>2459</v>
      </c>
      <c r="P21" t="s">
        <v>2257</v>
      </c>
      <c r="Q21" t="e">
        <f t="shared" si="0"/>
        <v>#N/A</v>
      </c>
      <c r="R21">
        <f t="shared" si="1"/>
        <v>1</v>
      </c>
    </row>
    <row r="22" spans="1:18" x14ac:dyDescent="0.35">
      <c r="A22" s="11" t="s">
        <v>82</v>
      </c>
      <c r="B22" s="11" t="s">
        <v>442</v>
      </c>
      <c r="C22" s="11" t="s">
        <v>443</v>
      </c>
      <c r="D22" s="11" t="s">
        <v>83</v>
      </c>
      <c r="E22" s="11" t="s">
        <v>84</v>
      </c>
      <c r="F22" s="11" t="s">
        <v>85</v>
      </c>
      <c r="G22" s="11" t="s">
        <v>61</v>
      </c>
      <c r="I22" t="s">
        <v>443</v>
      </c>
      <c r="K22" t="s">
        <v>62</v>
      </c>
      <c r="L22" t="s">
        <v>83</v>
      </c>
      <c r="M22" t="s">
        <v>84</v>
      </c>
      <c r="N22" t="s">
        <v>2459</v>
      </c>
      <c r="O22" t="s">
        <v>2459</v>
      </c>
      <c r="P22" t="s">
        <v>2257</v>
      </c>
      <c r="Q22" t="e">
        <f t="shared" si="0"/>
        <v>#N/A</v>
      </c>
      <c r="R22">
        <f t="shared" si="1"/>
        <v>1</v>
      </c>
    </row>
    <row r="23" spans="1:18" x14ac:dyDescent="0.35">
      <c r="A23" s="11" t="s">
        <v>82</v>
      </c>
      <c r="B23" s="11" t="s">
        <v>444</v>
      </c>
      <c r="C23" s="11" t="s">
        <v>445</v>
      </c>
      <c r="D23" s="11" t="s">
        <v>83</v>
      </c>
      <c r="E23" s="11" t="s">
        <v>84</v>
      </c>
      <c r="F23" s="11" t="s">
        <v>85</v>
      </c>
      <c r="G23" s="11" t="s">
        <v>61</v>
      </c>
      <c r="I23" t="s">
        <v>445</v>
      </c>
      <c r="K23" t="s">
        <v>44</v>
      </c>
      <c r="L23" t="s">
        <v>83</v>
      </c>
      <c r="M23" t="s">
        <v>84</v>
      </c>
      <c r="N23" t="s">
        <v>2410</v>
      </c>
      <c r="O23" t="s">
        <v>2459</v>
      </c>
      <c r="Q23" t="e">
        <f t="shared" si="0"/>
        <v>#N/A</v>
      </c>
      <c r="R23">
        <f t="shared" si="1"/>
        <v>1</v>
      </c>
    </row>
    <row r="24" spans="1:18" x14ac:dyDescent="0.35">
      <c r="A24" s="11" t="s">
        <v>82</v>
      </c>
      <c r="B24" s="11" t="s">
        <v>446</v>
      </c>
      <c r="C24" s="11" t="s">
        <v>447</v>
      </c>
      <c r="D24" s="11" t="s">
        <v>83</v>
      </c>
      <c r="E24" s="11" t="s">
        <v>84</v>
      </c>
      <c r="F24" s="11" t="s">
        <v>85</v>
      </c>
      <c r="G24" s="11" t="s">
        <v>61</v>
      </c>
      <c r="I24" t="s">
        <v>447</v>
      </c>
      <c r="K24" t="s">
        <v>62</v>
      </c>
      <c r="L24" t="s">
        <v>83</v>
      </c>
      <c r="M24" t="s">
        <v>84</v>
      </c>
      <c r="N24" t="s">
        <v>2459</v>
      </c>
      <c r="O24" t="s">
        <v>2459</v>
      </c>
      <c r="P24" t="s">
        <v>2257</v>
      </c>
      <c r="Q24" t="e">
        <f t="shared" si="0"/>
        <v>#N/A</v>
      </c>
      <c r="R24">
        <f t="shared" si="1"/>
        <v>1</v>
      </c>
    </row>
    <row r="25" spans="1:18" x14ac:dyDescent="0.35">
      <c r="A25" s="11" t="s">
        <v>82</v>
      </c>
      <c r="B25" s="11" t="s">
        <v>448</v>
      </c>
      <c r="C25" s="11" t="s">
        <v>449</v>
      </c>
      <c r="D25" s="11" t="s">
        <v>83</v>
      </c>
      <c r="E25" s="11" t="s">
        <v>84</v>
      </c>
      <c r="F25" s="11" t="s">
        <v>87</v>
      </c>
      <c r="G25" s="11" t="s">
        <v>63</v>
      </c>
      <c r="I25" t="s">
        <v>449</v>
      </c>
      <c r="K25" t="s">
        <v>64</v>
      </c>
      <c r="L25" t="s">
        <v>83</v>
      </c>
      <c r="M25" t="s">
        <v>84</v>
      </c>
      <c r="N25" t="s">
        <v>2459</v>
      </c>
      <c r="O25" t="s">
        <v>2459</v>
      </c>
      <c r="P25" t="s">
        <v>2258</v>
      </c>
      <c r="Q25" t="e">
        <f t="shared" si="0"/>
        <v>#N/A</v>
      </c>
      <c r="R25">
        <f t="shared" si="1"/>
        <v>1</v>
      </c>
    </row>
    <row r="26" spans="1:18" x14ac:dyDescent="0.35">
      <c r="A26" s="11" t="s">
        <v>82</v>
      </c>
      <c r="B26" s="11" t="s">
        <v>450</v>
      </c>
      <c r="C26" s="11" t="s">
        <v>451</v>
      </c>
      <c r="D26" s="11" t="s">
        <v>83</v>
      </c>
      <c r="E26" s="11" t="s">
        <v>84</v>
      </c>
      <c r="F26" s="11" t="s">
        <v>87</v>
      </c>
      <c r="G26" s="11" t="s">
        <v>63</v>
      </c>
      <c r="I26" t="s">
        <v>451</v>
      </c>
      <c r="K26" t="s">
        <v>64</v>
      </c>
      <c r="L26" t="s">
        <v>83</v>
      </c>
      <c r="M26" t="s">
        <v>84</v>
      </c>
      <c r="N26" t="s">
        <v>2459</v>
      </c>
      <c r="O26" t="s">
        <v>2459</v>
      </c>
      <c r="P26" t="s">
        <v>2258</v>
      </c>
      <c r="Q26" t="e">
        <f t="shared" si="0"/>
        <v>#N/A</v>
      </c>
      <c r="R26">
        <f t="shared" si="1"/>
        <v>1</v>
      </c>
    </row>
    <row r="27" spans="1:18" x14ac:dyDescent="0.35">
      <c r="A27" s="11" t="s">
        <v>82</v>
      </c>
      <c r="B27" s="11" t="s">
        <v>452</v>
      </c>
      <c r="C27" s="11" t="s">
        <v>453</v>
      </c>
      <c r="D27" s="11" t="s">
        <v>83</v>
      </c>
      <c r="E27" s="11" t="s">
        <v>84</v>
      </c>
      <c r="F27" s="11" t="s">
        <v>87</v>
      </c>
      <c r="G27" s="11" t="s">
        <v>63</v>
      </c>
      <c r="I27" t="s">
        <v>453</v>
      </c>
      <c r="K27" t="s">
        <v>64</v>
      </c>
      <c r="L27" t="s">
        <v>83</v>
      </c>
      <c r="M27" t="s">
        <v>84</v>
      </c>
      <c r="N27" t="s">
        <v>2459</v>
      </c>
      <c r="O27" t="s">
        <v>2459</v>
      </c>
      <c r="P27" t="s">
        <v>2258</v>
      </c>
      <c r="Q27" t="e">
        <f t="shared" si="0"/>
        <v>#N/A</v>
      </c>
      <c r="R27">
        <f t="shared" si="1"/>
        <v>1</v>
      </c>
    </row>
    <row r="28" spans="1:18" x14ac:dyDescent="0.35">
      <c r="A28" s="11" t="s">
        <v>82</v>
      </c>
      <c r="B28" s="11" t="s">
        <v>454</v>
      </c>
      <c r="C28" s="11" t="s">
        <v>455</v>
      </c>
      <c r="D28" s="11" t="s">
        <v>83</v>
      </c>
      <c r="E28" s="11" t="s">
        <v>84</v>
      </c>
      <c r="F28" s="11" t="s">
        <v>87</v>
      </c>
      <c r="G28" s="11" t="s">
        <v>63</v>
      </c>
      <c r="I28" t="s">
        <v>455</v>
      </c>
      <c r="K28" t="s">
        <v>64</v>
      </c>
      <c r="L28" t="s">
        <v>83</v>
      </c>
      <c r="M28" t="s">
        <v>84</v>
      </c>
      <c r="N28" t="s">
        <v>2459</v>
      </c>
      <c r="O28" t="s">
        <v>2459</v>
      </c>
      <c r="P28" t="s">
        <v>2258</v>
      </c>
      <c r="Q28" t="e">
        <f t="shared" si="0"/>
        <v>#N/A</v>
      </c>
      <c r="R28">
        <f t="shared" si="1"/>
        <v>1</v>
      </c>
    </row>
    <row r="29" spans="1:18" x14ac:dyDescent="0.35">
      <c r="A29" s="11" t="s">
        <v>82</v>
      </c>
      <c r="B29" s="11" t="s">
        <v>456</v>
      </c>
      <c r="C29" s="11" t="s">
        <v>457</v>
      </c>
      <c r="D29" s="11" t="s">
        <v>83</v>
      </c>
      <c r="E29" s="11" t="s">
        <v>84</v>
      </c>
      <c r="F29" s="11" t="s">
        <v>87</v>
      </c>
      <c r="G29" s="11" t="s">
        <v>63</v>
      </c>
      <c r="I29" t="s">
        <v>457</v>
      </c>
      <c r="K29" t="s">
        <v>44</v>
      </c>
      <c r="L29" t="s">
        <v>83</v>
      </c>
      <c r="M29" t="s">
        <v>84</v>
      </c>
      <c r="N29" t="s">
        <v>2410</v>
      </c>
      <c r="O29" t="s">
        <v>2459</v>
      </c>
      <c r="Q29" t="e">
        <f t="shared" si="0"/>
        <v>#N/A</v>
      </c>
      <c r="R29">
        <f t="shared" si="1"/>
        <v>1</v>
      </c>
    </row>
    <row r="30" spans="1:18" x14ac:dyDescent="0.35">
      <c r="A30" s="11" t="s">
        <v>82</v>
      </c>
      <c r="B30" s="11" t="s">
        <v>458</v>
      </c>
      <c r="C30" s="11" t="s">
        <v>459</v>
      </c>
      <c r="D30" s="11" t="s">
        <v>83</v>
      </c>
      <c r="E30" s="11" t="s">
        <v>84</v>
      </c>
      <c r="F30" s="11" t="s">
        <v>87</v>
      </c>
      <c r="G30" s="11" t="s">
        <v>63</v>
      </c>
      <c r="I30" t="s">
        <v>459</v>
      </c>
      <c r="K30" t="s">
        <v>44</v>
      </c>
      <c r="L30" t="s">
        <v>83</v>
      </c>
      <c r="M30" t="s">
        <v>84</v>
      </c>
      <c r="N30" t="s">
        <v>2410</v>
      </c>
      <c r="O30" t="s">
        <v>2459</v>
      </c>
      <c r="Q30" t="e">
        <f t="shared" si="0"/>
        <v>#N/A</v>
      </c>
      <c r="R30">
        <f t="shared" si="1"/>
        <v>1</v>
      </c>
    </row>
    <row r="31" spans="1:18" x14ac:dyDescent="0.35">
      <c r="A31" s="11" t="s">
        <v>82</v>
      </c>
      <c r="B31" s="11" t="s">
        <v>460</v>
      </c>
      <c r="C31" s="11" t="s">
        <v>461</v>
      </c>
      <c r="D31" s="11" t="s">
        <v>83</v>
      </c>
      <c r="E31" s="11" t="s">
        <v>84</v>
      </c>
      <c r="F31" s="11" t="s">
        <v>87</v>
      </c>
      <c r="G31" s="11" t="s">
        <v>63</v>
      </c>
      <c r="I31" t="s">
        <v>461</v>
      </c>
      <c r="K31" t="s">
        <v>64</v>
      </c>
      <c r="L31" t="s">
        <v>83</v>
      </c>
      <c r="M31" t="s">
        <v>84</v>
      </c>
      <c r="N31" t="s">
        <v>2459</v>
      </c>
      <c r="O31" t="s">
        <v>2459</v>
      </c>
      <c r="P31" t="s">
        <v>2258</v>
      </c>
      <c r="Q31" t="e">
        <f t="shared" si="0"/>
        <v>#N/A</v>
      </c>
      <c r="R31">
        <f t="shared" si="1"/>
        <v>1</v>
      </c>
    </row>
    <row r="32" spans="1:18" x14ac:dyDescent="0.35">
      <c r="A32" s="11"/>
      <c r="B32" s="11"/>
      <c r="C32" s="11"/>
      <c r="D32" s="11"/>
      <c r="E32" s="11"/>
      <c r="F32" s="11"/>
      <c r="G32" s="11"/>
      <c r="I32" t="s">
        <v>2102</v>
      </c>
      <c r="K32" t="s">
        <v>44</v>
      </c>
      <c r="L32" t="s">
        <v>83</v>
      </c>
      <c r="M32" t="s">
        <v>84</v>
      </c>
      <c r="N32" t="s">
        <v>2410</v>
      </c>
      <c r="O32" t="s">
        <v>2459</v>
      </c>
      <c r="P32" t="s">
        <v>2252</v>
      </c>
      <c r="Q32" t="e">
        <f t="shared" si="0"/>
        <v>#N/A</v>
      </c>
      <c r="R32" t="e">
        <f t="shared" si="1"/>
        <v>#N/A</v>
      </c>
    </row>
    <row r="33" spans="1:18" x14ac:dyDescent="0.35">
      <c r="A33" s="11" t="s">
        <v>82</v>
      </c>
      <c r="B33" s="11" t="s">
        <v>462</v>
      </c>
      <c r="C33" s="11" t="s">
        <v>44</v>
      </c>
      <c r="D33" s="11" t="s">
        <v>83</v>
      </c>
      <c r="E33" s="11" t="s">
        <v>84</v>
      </c>
      <c r="F33" s="11" t="s">
        <v>87</v>
      </c>
      <c r="G33" s="11" t="s">
        <v>63</v>
      </c>
      <c r="I33" t="s">
        <v>44</v>
      </c>
      <c r="K33" t="s">
        <v>44</v>
      </c>
      <c r="L33" t="s">
        <v>83</v>
      </c>
      <c r="M33" t="s">
        <v>84</v>
      </c>
      <c r="N33" t="s">
        <v>2410</v>
      </c>
      <c r="O33" t="s">
        <v>2459</v>
      </c>
      <c r="Q33" t="e">
        <f t="shared" si="0"/>
        <v>#N/A</v>
      </c>
      <c r="R33">
        <f t="shared" si="1"/>
        <v>1</v>
      </c>
    </row>
    <row r="34" spans="1:18" x14ac:dyDescent="0.35">
      <c r="A34" s="11" t="s">
        <v>82</v>
      </c>
      <c r="B34" s="11" t="s">
        <v>463</v>
      </c>
      <c r="C34" s="11" t="s">
        <v>464</v>
      </c>
      <c r="D34" s="11" t="s">
        <v>83</v>
      </c>
      <c r="E34" s="11" t="s">
        <v>84</v>
      </c>
      <c r="F34" s="11" t="s">
        <v>87</v>
      </c>
      <c r="G34" s="11" t="s">
        <v>63</v>
      </c>
      <c r="I34" t="s">
        <v>464</v>
      </c>
      <c r="K34" t="s">
        <v>64</v>
      </c>
      <c r="L34" t="s">
        <v>83</v>
      </c>
      <c r="M34" t="s">
        <v>84</v>
      </c>
      <c r="N34" t="s">
        <v>2459</v>
      </c>
      <c r="O34" t="s">
        <v>2459</v>
      </c>
      <c r="P34" t="s">
        <v>2258</v>
      </c>
      <c r="Q34" t="e">
        <f t="shared" si="0"/>
        <v>#N/A</v>
      </c>
      <c r="R34">
        <f t="shared" si="1"/>
        <v>1</v>
      </c>
    </row>
    <row r="35" spans="1:18" x14ac:dyDescent="0.35">
      <c r="A35" s="11" t="s">
        <v>82</v>
      </c>
      <c r="B35" s="11" t="s">
        <v>465</v>
      </c>
      <c r="C35" s="11" t="s">
        <v>466</v>
      </c>
      <c r="D35" s="11" t="s">
        <v>83</v>
      </c>
      <c r="E35" s="11" t="s">
        <v>84</v>
      </c>
      <c r="F35" s="11" t="s">
        <v>87</v>
      </c>
      <c r="G35" s="11" t="s">
        <v>63</v>
      </c>
      <c r="I35" t="s">
        <v>466</v>
      </c>
      <c r="K35" t="s">
        <v>64</v>
      </c>
      <c r="L35" t="s">
        <v>83</v>
      </c>
      <c r="M35" t="s">
        <v>84</v>
      </c>
      <c r="N35" t="s">
        <v>2459</v>
      </c>
      <c r="O35" t="s">
        <v>2459</v>
      </c>
      <c r="P35" t="s">
        <v>2258</v>
      </c>
      <c r="Q35" t="e">
        <f t="shared" si="0"/>
        <v>#N/A</v>
      </c>
      <c r="R35">
        <f t="shared" si="1"/>
        <v>1</v>
      </c>
    </row>
    <row r="36" spans="1:18" x14ac:dyDescent="0.35">
      <c r="A36" s="11" t="s">
        <v>82</v>
      </c>
      <c r="B36" s="11" t="s">
        <v>467</v>
      </c>
      <c r="C36" s="11" t="s">
        <v>468</v>
      </c>
      <c r="D36" s="11" t="s">
        <v>83</v>
      </c>
      <c r="E36" s="11" t="s">
        <v>84</v>
      </c>
      <c r="F36" s="11" t="s">
        <v>87</v>
      </c>
      <c r="G36" s="11" t="s">
        <v>63</v>
      </c>
      <c r="I36" t="s">
        <v>468</v>
      </c>
      <c r="K36" t="s">
        <v>64</v>
      </c>
      <c r="L36" t="s">
        <v>83</v>
      </c>
      <c r="M36" t="s">
        <v>84</v>
      </c>
      <c r="N36" t="s">
        <v>2459</v>
      </c>
      <c r="O36" t="s">
        <v>2459</v>
      </c>
      <c r="P36" t="s">
        <v>2258</v>
      </c>
      <c r="Q36" t="e">
        <f t="shared" si="0"/>
        <v>#N/A</v>
      </c>
      <c r="R36">
        <f t="shared" si="1"/>
        <v>1</v>
      </c>
    </row>
    <row r="37" spans="1:18" x14ac:dyDescent="0.35">
      <c r="A37" s="11" t="s">
        <v>82</v>
      </c>
      <c r="B37" s="11" t="s">
        <v>469</v>
      </c>
      <c r="C37" s="11" t="s">
        <v>470</v>
      </c>
      <c r="D37" s="11" t="s">
        <v>83</v>
      </c>
      <c r="E37" s="11" t="s">
        <v>84</v>
      </c>
      <c r="F37" s="11" t="s">
        <v>87</v>
      </c>
      <c r="G37" s="11" t="s">
        <v>63</v>
      </c>
      <c r="I37" t="s">
        <v>470</v>
      </c>
      <c r="K37" t="s">
        <v>64</v>
      </c>
      <c r="L37" t="s">
        <v>83</v>
      </c>
      <c r="M37" t="s">
        <v>84</v>
      </c>
      <c r="N37" t="s">
        <v>2459</v>
      </c>
      <c r="O37" t="s">
        <v>2459</v>
      </c>
      <c r="P37" t="s">
        <v>2258</v>
      </c>
      <c r="Q37" t="e">
        <f t="shared" si="0"/>
        <v>#N/A</v>
      </c>
      <c r="R37">
        <f t="shared" si="1"/>
        <v>1</v>
      </c>
    </row>
    <row r="38" spans="1:18" x14ac:dyDescent="0.35">
      <c r="A38" s="11" t="s">
        <v>82</v>
      </c>
      <c r="B38" s="11" t="s">
        <v>471</v>
      </c>
      <c r="C38" s="11" t="s">
        <v>472</v>
      </c>
      <c r="D38" s="11" t="s">
        <v>83</v>
      </c>
      <c r="E38" s="11" t="s">
        <v>84</v>
      </c>
      <c r="F38" s="11" t="s">
        <v>87</v>
      </c>
      <c r="G38" s="11" t="s">
        <v>63</v>
      </c>
      <c r="I38" t="s">
        <v>472</v>
      </c>
      <c r="K38" t="s">
        <v>64</v>
      </c>
      <c r="L38" t="s">
        <v>83</v>
      </c>
      <c r="M38" t="s">
        <v>84</v>
      </c>
      <c r="N38" t="s">
        <v>2459</v>
      </c>
      <c r="O38" t="s">
        <v>2459</v>
      </c>
      <c r="P38" t="s">
        <v>2258</v>
      </c>
      <c r="Q38" t="e">
        <f t="shared" si="0"/>
        <v>#N/A</v>
      </c>
      <c r="R38">
        <f t="shared" si="1"/>
        <v>1</v>
      </c>
    </row>
    <row r="39" spans="1:18" x14ac:dyDescent="0.35">
      <c r="A39" s="11" t="s">
        <v>82</v>
      </c>
      <c r="B39" s="11" t="s">
        <v>473</v>
      </c>
      <c r="C39" s="11" t="s">
        <v>474</v>
      </c>
      <c r="D39" s="11" t="s">
        <v>83</v>
      </c>
      <c r="E39" s="11" t="s">
        <v>84</v>
      </c>
      <c r="F39" s="11" t="s">
        <v>87</v>
      </c>
      <c r="G39" s="11" t="s">
        <v>63</v>
      </c>
      <c r="I39" t="s">
        <v>474</v>
      </c>
      <c r="K39" t="s">
        <v>64</v>
      </c>
      <c r="L39" t="s">
        <v>83</v>
      </c>
      <c r="M39" t="s">
        <v>84</v>
      </c>
      <c r="N39" t="s">
        <v>2459</v>
      </c>
      <c r="O39" t="s">
        <v>2459</v>
      </c>
      <c r="P39" t="s">
        <v>2258</v>
      </c>
      <c r="Q39" t="e">
        <f t="shared" si="0"/>
        <v>#N/A</v>
      </c>
      <c r="R39">
        <f t="shared" si="1"/>
        <v>1</v>
      </c>
    </row>
    <row r="40" spans="1:18" x14ac:dyDescent="0.35">
      <c r="A40" s="11" t="s">
        <v>82</v>
      </c>
      <c r="B40" s="11" t="s">
        <v>475</v>
      </c>
      <c r="C40" s="11" t="s">
        <v>476</v>
      </c>
      <c r="D40" s="11" t="s">
        <v>83</v>
      </c>
      <c r="E40" s="11" t="s">
        <v>84</v>
      </c>
      <c r="F40" s="11" t="s">
        <v>87</v>
      </c>
      <c r="G40" s="11" t="s">
        <v>63</v>
      </c>
      <c r="I40" t="s">
        <v>476</v>
      </c>
      <c r="K40" t="s">
        <v>64</v>
      </c>
      <c r="L40" t="s">
        <v>83</v>
      </c>
      <c r="M40" t="s">
        <v>84</v>
      </c>
      <c r="N40" t="s">
        <v>2459</v>
      </c>
      <c r="O40" t="s">
        <v>2459</v>
      </c>
      <c r="P40" t="s">
        <v>2258</v>
      </c>
      <c r="Q40" t="e">
        <f t="shared" si="0"/>
        <v>#N/A</v>
      </c>
      <c r="R40">
        <f t="shared" si="1"/>
        <v>1</v>
      </c>
    </row>
    <row r="41" spans="1:18" x14ac:dyDescent="0.35">
      <c r="A41" s="11" t="s">
        <v>82</v>
      </c>
      <c r="B41" s="11" t="s">
        <v>477</v>
      </c>
      <c r="C41" s="11" t="s">
        <v>478</v>
      </c>
      <c r="D41" s="11" t="s">
        <v>83</v>
      </c>
      <c r="E41" s="11" t="s">
        <v>84</v>
      </c>
      <c r="F41" s="11" t="s">
        <v>87</v>
      </c>
      <c r="G41" s="11" t="s">
        <v>63</v>
      </c>
      <c r="I41" t="s">
        <v>478</v>
      </c>
      <c r="K41" t="s">
        <v>44</v>
      </c>
      <c r="L41" t="s">
        <v>83</v>
      </c>
      <c r="M41" t="s">
        <v>84</v>
      </c>
      <c r="N41" t="s">
        <v>2410</v>
      </c>
      <c r="O41" t="s">
        <v>2459</v>
      </c>
      <c r="Q41" t="e">
        <f t="shared" si="0"/>
        <v>#N/A</v>
      </c>
      <c r="R41">
        <f t="shared" si="1"/>
        <v>1</v>
      </c>
    </row>
    <row r="42" spans="1:18" x14ac:dyDescent="0.35">
      <c r="A42" s="11" t="s">
        <v>82</v>
      </c>
      <c r="B42" s="11" t="s">
        <v>479</v>
      </c>
      <c r="C42" s="11" t="s">
        <v>480</v>
      </c>
      <c r="D42" s="11" t="s">
        <v>83</v>
      </c>
      <c r="E42" s="11" t="s">
        <v>84</v>
      </c>
      <c r="F42" s="11" t="s">
        <v>87</v>
      </c>
      <c r="G42" s="11" t="s">
        <v>63</v>
      </c>
      <c r="I42" t="s">
        <v>480</v>
      </c>
      <c r="K42" t="s">
        <v>44</v>
      </c>
      <c r="L42" t="s">
        <v>83</v>
      </c>
      <c r="M42" t="s">
        <v>84</v>
      </c>
      <c r="N42" t="s">
        <v>2410</v>
      </c>
      <c r="O42" t="s">
        <v>2459</v>
      </c>
      <c r="Q42" t="e">
        <f t="shared" si="0"/>
        <v>#N/A</v>
      </c>
      <c r="R42">
        <f t="shared" si="1"/>
        <v>1</v>
      </c>
    </row>
    <row r="43" spans="1:18" x14ac:dyDescent="0.35">
      <c r="A43" s="11" t="s">
        <v>82</v>
      </c>
      <c r="B43" s="11" t="s">
        <v>481</v>
      </c>
      <c r="C43" s="11" t="s">
        <v>482</v>
      </c>
      <c r="D43" s="11" t="s">
        <v>83</v>
      </c>
      <c r="E43" s="11" t="s">
        <v>84</v>
      </c>
      <c r="F43" s="11" t="s">
        <v>87</v>
      </c>
      <c r="G43" s="11" t="s">
        <v>63</v>
      </c>
      <c r="I43" t="s">
        <v>482</v>
      </c>
      <c r="K43" t="s">
        <v>44</v>
      </c>
      <c r="L43" t="s">
        <v>83</v>
      </c>
      <c r="M43" t="s">
        <v>84</v>
      </c>
      <c r="N43" t="s">
        <v>2410</v>
      </c>
      <c r="O43" t="s">
        <v>2459</v>
      </c>
      <c r="Q43" t="e">
        <f t="shared" si="0"/>
        <v>#N/A</v>
      </c>
      <c r="R43">
        <f t="shared" si="1"/>
        <v>1</v>
      </c>
    </row>
    <row r="44" spans="1:18" x14ac:dyDescent="0.35">
      <c r="A44" s="11" t="s">
        <v>82</v>
      </c>
      <c r="B44" s="11" t="s">
        <v>483</v>
      </c>
      <c r="C44" s="11" t="s">
        <v>484</v>
      </c>
      <c r="D44" s="11" t="s">
        <v>83</v>
      </c>
      <c r="E44" s="11" t="s">
        <v>84</v>
      </c>
      <c r="F44" s="11" t="s">
        <v>87</v>
      </c>
      <c r="G44" s="11" t="s">
        <v>63</v>
      </c>
      <c r="I44" t="s">
        <v>484</v>
      </c>
      <c r="K44" t="s">
        <v>64</v>
      </c>
      <c r="L44" t="s">
        <v>83</v>
      </c>
      <c r="M44" t="s">
        <v>84</v>
      </c>
      <c r="N44" t="s">
        <v>2459</v>
      </c>
      <c r="O44" t="s">
        <v>2459</v>
      </c>
      <c r="P44" t="s">
        <v>2258</v>
      </c>
      <c r="Q44" t="e">
        <f t="shared" si="0"/>
        <v>#N/A</v>
      </c>
      <c r="R44">
        <f t="shared" si="1"/>
        <v>1</v>
      </c>
    </row>
    <row r="45" spans="1:18" x14ac:dyDescent="0.35">
      <c r="A45" s="11" t="s">
        <v>82</v>
      </c>
      <c r="B45" s="11" t="s">
        <v>485</v>
      </c>
      <c r="C45" s="11" t="s">
        <v>486</v>
      </c>
      <c r="D45" s="11" t="s">
        <v>83</v>
      </c>
      <c r="E45" s="11" t="s">
        <v>84</v>
      </c>
      <c r="F45" s="11" t="s">
        <v>87</v>
      </c>
      <c r="G45" s="11" t="s">
        <v>63</v>
      </c>
      <c r="I45" t="s">
        <v>486</v>
      </c>
      <c r="K45" t="s">
        <v>44</v>
      </c>
      <c r="L45" t="s">
        <v>83</v>
      </c>
      <c r="M45" t="s">
        <v>84</v>
      </c>
      <c r="N45" t="s">
        <v>2410</v>
      </c>
      <c r="O45" t="s">
        <v>2459</v>
      </c>
      <c r="Q45" t="e">
        <f t="shared" si="0"/>
        <v>#N/A</v>
      </c>
      <c r="R45">
        <f t="shared" si="1"/>
        <v>1</v>
      </c>
    </row>
    <row r="46" spans="1:18" x14ac:dyDescent="0.35">
      <c r="A46" s="11" t="s">
        <v>82</v>
      </c>
      <c r="B46" s="11" t="s">
        <v>487</v>
      </c>
      <c r="C46" s="11" t="s">
        <v>488</v>
      </c>
      <c r="D46" s="11" t="s">
        <v>83</v>
      </c>
      <c r="E46" s="11" t="s">
        <v>84</v>
      </c>
      <c r="F46" s="11" t="s">
        <v>87</v>
      </c>
      <c r="G46" s="11" t="s">
        <v>63</v>
      </c>
      <c r="I46" t="s">
        <v>488</v>
      </c>
      <c r="K46" t="s">
        <v>44</v>
      </c>
      <c r="L46" t="s">
        <v>83</v>
      </c>
      <c r="M46" t="s">
        <v>84</v>
      </c>
      <c r="N46" t="s">
        <v>2410</v>
      </c>
      <c r="O46" t="s">
        <v>2459</v>
      </c>
      <c r="Q46" t="e">
        <f t="shared" si="0"/>
        <v>#N/A</v>
      </c>
      <c r="R46">
        <f t="shared" si="1"/>
        <v>1</v>
      </c>
    </row>
    <row r="47" spans="1:18" x14ac:dyDescent="0.35">
      <c r="A47" s="11" t="s">
        <v>82</v>
      </c>
      <c r="B47" s="11" t="s">
        <v>489</v>
      </c>
      <c r="C47" s="11" t="s">
        <v>490</v>
      </c>
      <c r="D47" s="11" t="s">
        <v>83</v>
      </c>
      <c r="E47" s="11" t="s">
        <v>84</v>
      </c>
      <c r="F47" s="11" t="s">
        <v>87</v>
      </c>
      <c r="G47" s="11" t="s">
        <v>63</v>
      </c>
      <c r="I47" t="s">
        <v>490</v>
      </c>
      <c r="K47" t="s">
        <v>44</v>
      </c>
      <c r="L47" t="s">
        <v>83</v>
      </c>
      <c r="M47" t="s">
        <v>84</v>
      </c>
      <c r="N47" t="s">
        <v>2410</v>
      </c>
      <c r="O47" t="s">
        <v>2459</v>
      </c>
      <c r="Q47" t="e">
        <f t="shared" si="0"/>
        <v>#N/A</v>
      </c>
      <c r="R47">
        <f t="shared" si="1"/>
        <v>1</v>
      </c>
    </row>
    <row r="48" spans="1:18" x14ac:dyDescent="0.35">
      <c r="A48" s="11" t="s">
        <v>82</v>
      </c>
      <c r="B48" s="11" t="s">
        <v>491</v>
      </c>
      <c r="C48" s="11" t="s">
        <v>492</v>
      </c>
      <c r="D48" s="11" t="s">
        <v>83</v>
      </c>
      <c r="E48" s="11" t="s">
        <v>84</v>
      </c>
      <c r="F48" s="11" t="s">
        <v>87</v>
      </c>
      <c r="G48" s="11" t="s">
        <v>63</v>
      </c>
      <c r="I48" t="s">
        <v>492</v>
      </c>
      <c r="K48" t="s">
        <v>44</v>
      </c>
      <c r="L48" t="s">
        <v>83</v>
      </c>
      <c r="M48" t="s">
        <v>84</v>
      </c>
      <c r="N48" t="s">
        <v>2410</v>
      </c>
      <c r="O48" t="s">
        <v>2459</v>
      </c>
      <c r="Q48" t="e">
        <f t="shared" si="0"/>
        <v>#N/A</v>
      </c>
      <c r="R48">
        <f t="shared" si="1"/>
        <v>1</v>
      </c>
    </row>
    <row r="49" spans="1:18" x14ac:dyDescent="0.35">
      <c r="A49" s="11" t="s">
        <v>82</v>
      </c>
      <c r="B49" s="11" t="s">
        <v>493</v>
      </c>
      <c r="C49" s="11" t="s">
        <v>494</v>
      </c>
      <c r="D49" s="11" t="s">
        <v>83</v>
      </c>
      <c r="E49" s="11" t="s">
        <v>84</v>
      </c>
      <c r="F49" s="11" t="s">
        <v>87</v>
      </c>
      <c r="G49" s="11" t="s">
        <v>63</v>
      </c>
      <c r="I49" t="s">
        <v>494</v>
      </c>
      <c r="K49" t="s">
        <v>44</v>
      </c>
      <c r="L49" t="s">
        <v>83</v>
      </c>
      <c r="M49" t="s">
        <v>84</v>
      </c>
      <c r="N49" t="s">
        <v>2410</v>
      </c>
      <c r="O49" t="s">
        <v>2459</v>
      </c>
      <c r="Q49" t="e">
        <f t="shared" si="0"/>
        <v>#N/A</v>
      </c>
      <c r="R49">
        <f t="shared" si="1"/>
        <v>1</v>
      </c>
    </row>
    <row r="50" spans="1:18" x14ac:dyDescent="0.35">
      <c r="A50" s="11" t="s">
        <v>82</v>
      </c>
      <c r="B50" s="11" t="s">
        <v>495</v>
      </c>
      <c r="C50" s="11" t="s">
        <v>496</v>
      </c>
      <c r="D50" s="11" t="s">
        <v>83</v>
      </c>
      <c r="E50" s="11" t="s">
        <v>84</v>
      </c>
      <c r="F50" s="11" t="s">
        <v>87</v>
      </c>
      <c r="G50" s="11" t="s">
        <v>63</v>
      </c>
      <c r="I50" t="s">
        <v>496</v>
      </c>
      <c r="K50" t="s">
        <v>44</v>
      </c>
      <c r="L50" t="s">
        <v>83</v>
      </c>
      <c r="M50" t="s">
        <v>84</v>
      </c>
      <c r="N50" t="s">
        <v>2410</v>
      </c>
      <c r="O50" t="s">
        <v>2459</v>
      </c>
      <c r="Q50" t="e">
        <f t="shared" si="0"/>
        <v>#N/A</v>
      </c>
      <c r="R50">
        <f t="shared" si="1"/>
        <v>1</v>
      </c>
    </row>
    <row r="51" spans="1:18" x14ac:dyDescent="0.35">
      <c r="A51" s="11" t="s">
        <v>82</v>
      </c>
      <c r="B51" s="11" t="s">
        <v>497</v>
      </c>
      <c r="C51" s="11" t="s">
        <v>498</v>
      </c>
      <c r="D51" s="11" t="s">
        <v>83</v>
      </c>
      <c r="E51" s="11" t="s">
        <v>84</v>
      </c>
      <c r="F51" s="11" t="s">
        <v>87</v>
      </c>
      <c r="G51" s="11" t="s">
        <v>63</v>
      </c>
      <c r="I51" t="s">
        <v>498</v>
      </c>
      <c r="K51" t="s">
        <v>44</v>
      </c>
      <c r="L51" t="s">
        <v>83</v>
      </c>
      <c r="M51" t="s">
        <v>84</v>
      </c>
      <c r="N51" t="s">
        <v>2410</v>
      </c>
      <c r="O51" t="s">
        <v>2459</v>
      </c>
      <c r="Q51" t="e">
        <f t="shared" si="0"/>
        <v>#N/A</v>
      </c>
      <c r="R51">
        <f t="shared" si="1"/>
        <v>1</v>
      </c>
    </row>
    <row r="52" spans="1:18" x14ac:dyDescent="0.35">
      <c r="A52" s="11" t="s">
        <v>82</v>
      </c>
      <c r="B52" s="11" t="s">
        <v>499</v>
      </c>
      <c r="C52" s="11" t="s">
        <v>500</v>
      </c>
      <c r="D52" s="11" t="s">
        <v>89</v>
      </c>
      <c r="E52" s="11" t="s">
        <v>90</v>
      </c>
      <c r="F52" s="11" t="s">
        <v>91</v>
      </c>
      <c r="G52" s="11" t="s">
        <v>92</v>
      </c>
      <c r="I52" t="s">
        <v>500</v>
      </c>
      <c r="K52" t="s">
        <v>92</v>
      </c>
      <c r="L52" t="s">
        <v>89</v>
      </c>
      <c r="M52" t="s">
        <v>90</v>
      </c>
      <c r="N52" t="s">
        <v>2459</v>
      </c>
      <c r="O52" t="s">
        <v>2459</v>
      </c>
      <c r="Q52">
        <f t="shared" si="0"/>
        <v>1</v>
      </c>
      <c r="R52">
        <f t="shared" si="1"/>
        <v>1</v>
      </c>
    </row>
    <row r="53" spans="1:18" x14ac:dyDescent="0.35">
      <c r="A53" s="11" t="s">
        <v>82</v>
      </c>
      <c r="B53" s="11" t="s">
        <v>501</v>
      </c>
      <c r="C53" s="11" t="s">
        <v>502</v>
      </c>
      <c r="D53" s="11" t="s">
        <v>89</v>
      </c>
      <c r="E53" s="11" t="s">
        <v>90</v>
      </c>
      <c r="F53" s="11" t="s">
        <v>91</v>
      </c>
      <c r="G53" s="11" t="s">
        <v>92</v>
      </c>
      <c r="I53" t="s">
        <v>502</v>
      </c>
      <c r="K53" t="s">
        <v>92</v>
      </c>
      <c r="L53" t="s">
        <v>89</v>
      </c>
      <c r="M53" t="s">
        <v>90</v>
      </c>
      <c r="N53" t="s">
        <v>2459</v>
      </c>
      <c r="O53" t="s">
        <v>2459</v>
      </c>
      <c r="Q53">
        <f t="shared" si="0"/>
        <v>1</v>
      </c>
      <c r="R53">
        <f t="shared" si="1"/>
        <v>1</v>
      </c>
    </row>
    <row r="54" spans="1:18" x14ac:dyDescent="0.35">
      <c r="A54" s="11" t="s">
        <v>82</v>
      </c>
      <c r="B54" s="11" t="s">
        <v>503</v>
      </c>
      <c r="C54" s="11" t="s">
        <v>504</v>
      </c>
      <c r="D54" s="11" t="s">
        <v>89</v>
      </c>
      <c r="E54" s="11" t="s">
        <v>90</v>
      </c>
      <c r="F54" s="11" t="s">
        <v>91</v>
      </c>
      <c r="G54" s="11" t="s">
        <v>92</v>
      </c>
      <c r="I54" t="s">
        <v>504</v>
      </c>
      <c r="K54" t="s">
        <v>92</v>
      </c>
      <c r="L54" t="s">
        <v>89</v>
      </c>
      <c r="M54" t="s">
        <v>90</v>
      </c>
      <c r="N54" t="s">
        <v>2459</v>
      </c>
      <c r="O54" t="s">
        <v>2459</v>
      </c>
      <c r="Q54">
        <f t="shared" si="0"/>
        <v>1</v>
      </c>
      <c r="R54">
        <f t="shared" si="1"/>
        <v>1</v>
      </c>
    </row>
    <row r="55" spans="1:18" x14ac:dyDescent="0.35">
      <c r="A55" s="11" t="s">
        <v>82</v>
      </c>
      <c r="B55" s="11" t="s">
        <v>505</v>
      </c>
      <c r="C55" s="11" t="s">
        <v>506</v>
      </c>
      <c r="D55" s="11" t="s">
        <v>89</v>
      </c>
      <c r="E55" s="11" t="s">
        <v>90</v>
      </c>
      <c r="F55" s="11" t="s">
        <v>91</v>
      </c>
      <c r="G55" s="11" t="s">
        <v>92</v>
      </c>
      <c r="I55" t="s">
        <v>506</v>
      </c>
      <c r="K55" t="s">
        <v>92</v>
      </c>
      <c r="L55" t="s">
        <v>89</v>
      </c>
      <c r="M55" t="s">
        <v>90</v>
      </c>
      <c r="N55" t="s">
        <v>2459</v>
      </c>
      <c r="O55" t="s">
        <v>2459</v>
      </c>
      <c r="Q55">
        <f t="shared" si="0"/>
        <v>1</v>
      </c>
      <c r="R55">
        <f t="shared" si="1"/>
        <v>1</v>
      </c>
    </row>
    <row r="56" spans="1:18" x14ac:dyDescent="0.35">
      <c r="A56" s="11" t="s">
        <v>82</v>
      </c>
      <c r="B56" s="11" t="s">
        <v>507</v>
      </c>
      <c r="C56" s="11" t="s">
        <v>508</v>
      </c>
      <c r="D56" s="11" t="s">
        <v>89</v>
      </c>
      <c r="E56" s="11" t="s">
        <v>90</v>
      </c>
      <c r="F56" s="11" t="s">
        <v>91</v>
      </c>
      <c r="G56" s="11" t="s">
        <v>92</v>
      </c>
      <c r="I56" t="s">
        <v>508</v>
      </c>
      <c r="K56" t="s">
        <v>92</v>
      </c>
      <c r="L56" t="s">
        <v>89</v>
      </c>
      <c r="M56" t="s">
        <v>90</v>
      </c>
      <c r="N56" t="s">
        <v>2459</v>
      </c>
      <c r="O56" t="s">
        <v>2459</v>
      </c>
      <c r="Q56">
        <f t="shared" si="0"/>
        <v>1</v>
      </c>
      <c r="R56">
        <f t="shared" si="1"/>
        <v>1</v>
      </c>
    </row>
    <row r="57" spans="1:18" x14ac:dyDescent="0.35">
      <c r="A57" s="11" t="s">
        <v>82</v>
      </c>
      <c r="B57" s="11" t="s">
        <v>509</v>
      </c>
      <c r="C57" s="11" t="s">
        <v>510</v>
      </c>
      <c r="D57" s="11" t="s">
        <v>89</v>
      </c>
      <c r="E57" s="11" t="s">
        <v>90</v>
      </c>
      <c r="F57" s="11" t="s">
        <v>91</v>
      </c>
      <c r="G57" s="11" t="s">
        <v>92</v>
      </c>
      <c r="I57" t="s">
        <v>510</v>
      </c>
      <c r="K57" t="s">
        <v>92</v>
      </c>
      <c r="L57" t="s">
        <v>89</v>
      </c>
      <c r="M57" t="s">
        <v>90</v>
      </c>
      <c r="N57" t="s">
        <v>2459</v>
      </c>
      <c r="O57" t="s">
        <v>2459</v>
      </c>
      <c r="Q57">
        <f t="shared" si="0"/>
        <v>1</v>
      </c>
      <c r="R57">
        <f t="shared" si="1"/>
        <v>1</v>
      </c>
    </row>
    <row r="58" spans="1:18" x14ac:dyDescent="0.35">
      <c r="A58" s="11" t="s">
        <v>82</v>
      </c>
      <c r="B58" s="11" t="s">
        <v>511</v>
      </c>
      <c r="C58" s="11" t="s">
        <v>512</v>
      </c>
      <c r="D58" s="11" t="s">
        <v>89</v>
      </c>
      <c r="E58" s="11" t="s">
        <v>90</v>
      </c>
      <c r="F58" s="11" t="s">
        <v>91</v>
      </c>
      <c r="G58" s="11" t="s">
        <v>92</v>
      </c>
      <c r="I58" t="s">
        <v>512</v>
      </c>
      <c r="K58" t="s">
        <v>92</v>
      </c>
      <c r="L58" t="s">
        <v>89</v>
      </c>
      <c r="M58" t="s">
        <v>90</v>
      </c>
      <c r="N58" t="s">
        <v>2459</v>
      </c>
      <c r="O58" t="s">
        <v>2459</v>
      </c>
      <c r="Q58">
        <f t="shared" si="0"/>
        <v>1</v>
      </c>
      <c r="R58">
        <f t="shared" si="1"/>
        <v>1</v>
      </c>
    </row>
    <row r="59" spans="1:18" x14ac:dyDescent="0.35">
      <c r="A59" s="11" t="s">
        <v>82</v>
      </c>
      <c r="B59" s="11" t="s">
        <v>513</v>
      </c>
      <c r="C59" s="11" t="s">
        <v>514</v>
      </c>
      <c r="D59" s="11" t="s">
        <v>89</v>
      </c>
      <c r="E59" s="11" t="s">
        <v>90</v>
      </c>
      <c r="F59" s="11" t="s">
        <v>91</v>
      </c>
      <c r="G59" s="11" t="s">
        <v>92</v>
      </c>
      <c r="I59" t="s">
        <v>514</v>
      </c>
      <c r="K59" t="s">
        <v>92</v>
      </c>
      <c r="L59" t="s">
        <v>89</v>
      </c>
      <c r="M59" t="s">
        <v>90</v>
      </c>
      <c r="N59" t="s">
        <v>2459</v>
      </c>
      <c r="O59" t="s">
        <v>2459</v>
      </c>
      <c r="Q59">
        <f t="shared" si="0"/>
        <v>1</v>
      </c>
      <c r="R59">
        <f t="shared" si="1"/>
        <v>1</v>
      </c>
    </row>
    <row r="60" spans="1:18" x14ac:dyDescent="0.35">
      <c r="A60" s="11" t="s">
        <v>82</v>
      </c>
      <c r="B60" s="11" t="s">
        <v>515</v>
      </c>
      <c r="C60" s="11" t="s">
        <v>516</v>
      </c>
      <c r="D60" s="11" t="s">
        <v>89</v>
      </c>
      <c r="E60" s="11" t="s">
        <v>90</v>
      </c>
      <c r="F60" s="11" t="s">
        <v>91</v>
      </c>
      <c r="G60" s="11" t="s">
        <v>92</v>
      </c>
      <c r="I60" t="s">
        <v>516</v>
      </c>
      <c r="K60" t="s">
        <v>92</v>
      </c>
      <c r="L60" t="s">
        <v>89</v>
      </c>
      <c r="M60" t="s">
        <v>90</v>
      </c>
      <c r="N60" t="s">
        <v>2459</v>
      </c>
      <c r="O60" t="s">
        <v>2459</v>
      </c>
      <c r="Q60">
        <f t="shared" si="0"/>
        <v>1</v>
      </c>
      <c r="R60">
        <f t="shared" si="1"/>
        <v>1</v>
      </c>
    </row>
    <row r="61" spans="1:18" x14ac:dyDescent="0.35">
      <c r="A61" s="11" t="s">
        <v>82</v>
      </c>
      <c r="B61" s="11" t="s">
        <v>517</v>
      </c>
      <c r="C61" s="11" t="s">
        <v>518</v>
      </c>
      <c r="D61" s="11" t="s">
        <v>89</v>
      </c>
      <c r="E61" s="11" t="s">
        <v>90</v>
      </c>
      <c r="F61" s="11" t="s">
        <v>91</v>
      </c>
      <c r="G61" s="11" t="s">
        <v>92</v>
      </c>
      <c r="I61" t="s">
        <v>518</v>
      </c>
      <c r="K61" t="s">
        <v>92</v>
      </c>
      <c r="L61" t="s">
        <v>89</v>
      </c>
      <c r="M61" t="s">
        <v>90</v>
      </c>
      <c r="N61" t="s">
        <v>2459</v>
      </c>
      <c r="O61" t="s">
        <v>2459</v>
      </c>
      <c r="Q61">
        <f t="shared" si="0"/>
        <v>1</v>
      </c>
      <c r="R61">
        <f t="shared" si="1"/>
        <v>1</v>
      </c>
    </row>
    <row r="62" spans="1:18" x14ac:dyDescent="0.35">
      <c r="A62" s="11" t="s">
        <v>82</v>
      </c>
      <c r="B62" s="11" t="s">
        <v>519</v>
      </c>
      <c r="C62" s="11" t="s">
        <v>520</v>
      </c>
      <c r="D62" s="11" t="s">
        <v>89</v>
      </c>
      <c r="E62" s="11" t="s">
        <v>90</v>
      </c>
      <c r="F62" s="11" t="s">
        <v>91</v>
      </c>
      <c r="G62" s="11" t="s">
        <v>92</v>
      </c>
      <c r="I62" t="s">
        <v>520</v>
      </c>
      <c r="K62" t="s">
        <v>92</v>
      </c>
      <c r="L62" t="s">
        <v>89</v>
      </c>
      <c r="M62" t="s">
        <v>90</v>
      </c>
      <c r="N62" t="s">
        <v>2459</v>
      </c>
      <c r="O62" t="s">
        <v>2459</v>
      </c>
      <c r="Q62">
        <f t="shared" si="0"/>
        <v>1</v>
      </c>
      <c r="R62">
        <f t="shared" si="1"/>
        <v>1</v>
      </c>
    </row>
    <row r="63" spans="1:18" x14ac:dyDescent="0.35">
      <c r="A63" s="11" t="s">
        <v>82</v>
      </c>
      <c r="B63" s="11" t="s">
        <v>521</v>
      </c>
      <c r="C63" s="11" t="s">
        <v>522</v>
      </c>
      <c r="D63" s="11" t="s">
        <v>89</v>
      </c>
      <c r="E63" s="11" t="s">
        <v>90</v>
      </c>
      <c r="F63" s="11" t="s">
        <v>91</v>
      </c>
      <c r="G63" s="11" t="s">
        <v>92</v>
      </c>
      <c r="I63" t="s">
        <v>522</v>
      </c>
      <c r="K63" t="s">
        <v>92</v>
      </c>
      <c r="L63" t="s">
        <v>89</v>
      </c>
      <c r="M63" t="s">
        <v>90</v>
      </c>
      <c r="N63" t="s">
        <v>2459</v>
      </c>
      <c r="O63" t="s">
        <v>2459</v>
      </c>
      <c r="Q63">
        <f t="shared" si="0"/>
        <v>1</v>
      </c>
      <c r="R63">
        <f t="shared" si="1"/>
        <v>1</v>
      </c>
    </row>
    <row r="64" spans="1:18" x14ac:dyDescent="0.35">
      <c r="A64" s="11" t="s">
        <v>82</v>
      </c>
      <c r="B64" s="11" t="s">
        <v>523</v>
      </c>
      <c r="C64" s="11" t="s">
        <v>524</v>
      </c>
      <c r="D64" s="11" t="s">
        <v>89</v>
      </c>
      <c r="E64" s="11" t="s">
        <v>90</v>
      </c>
      <c r="F64" s="11" t="s">
        <v>91</v>
      </c>
      <c r="G64" s="11" t="s">
        <v>92</v>
      </c>
      <c r="I64" t="s">
        <v>524</v>
      </c>
      <c r="K64" t="s">
        <v>92</v>
      </c>
      <c r="L64" t="s">
        <v>89</v>
      </c>
      <c r="M64" t="s">
        <v>90</v>
      </c>
      <c r="N64" t="s">
        <v>2459</v>
      </c>
      <c r="O64" t="s">
        <v>2459</v>
      </c>
      <c r="Q64">
        <f t="shared" si="0"/>
        <v>1</v>
      </c>
      <c r="R64">
        <f t="shared" si="1"/>
        <v>1</v>
      </c>
    </row>
    <row r="65" spans="1:18" x14ac:dyDescent="0.35">
      <c r="A65" s="11" t="s">
        <v>82</v>
      </c>
      <c r="B65" s="11" t="s">
        <v>525</v>
      </c>
      <c r="C65" s="11" t="s">
        <v>526</v>
      </c>
      <c r="D65" s="11" t="s">
        <v>89</v>
      </c>
      <c r="E65" s="11" t="s">
        <v>90</v>
      </c>
      <c r="F65" s="11" t="s">
        <v>91</v>
      </c>
      <c r="G65" s="11" t="s">
        <v>92</v>
      </c>
      <c r="I65" t="s">
        <v>526</v>
      </c>
      <c r="K65" t="s">
        <v>92</v>
      </c>
      <c r="L65" t="s">
        <v>89</v>
      </c>
      <c r="M65" t="s">
        <v>90</v>
      </c>
      <c r="N65" t="s">
        <v>2459</v>
      </c>
      <c r="O65" t="s">
        <v>2459</v>
      </c>
      <c r="Q65">
        <f t="shared" si="0"/>
        <v>1</v>
      </c>
      <c r="R65">
        <f t="shared" si="1"/>
        <v>1</v>
      </c>
    </row>
    <row r="66" spans="1:18" x14ac:dyDescent="0.35">
      <c r="A66" s="11" t="s">
        <v>82</v>
      </c>
      <c r="B66" s="11" t="s">
        <v>527</v>
      </c>
      <c r="C66" s="11" t="s">
        <v>528</v>
      </c>
      <c r="D66" s="11" t="s">
        <v>89</v>
      </c>
      <c r="E66" s="11" t="s">
        <v>90</v>
      </c>
      <c r="F66" s="11" t="s">
        <v>91</v>
      </c>
      <c r="G66" s="11" t="s">
        <v>92</v>
      </c>
      <c r="I66" t="s">
        <v>528</v>
      </c>
      <c r="K66" t="s">
        <v>92</v>
      </c>
      <c r="L66" t="s">
        <v>89</v>
      </c>
      <c r="M66" t="s">
        <v>90</v>
      </c>
      <c r="N66" t="s">
        <v>2459</v>
      </c>
      <c r="O66" t="s">
        <v>2459</v>
      </c>
      <c r="Q66">
        <f t="shared" si="0"/>
        <v>1</v>
      </c>
      <c r="R66">
        <f t="shared" si="1"/>
        <v>1</v>
      </c>
    </row>
    <row r="67" spans="1:18" x14ac:dyDescent="0.35">
      <c r="A67" s="11" t="s">
        <v>82</v>
      </c>
      <c r="B67" s="11" t="s">
        <v>529</v>
      </c>
      <c r="C67" s="11" t="s">
        <v>530</v>
      </c>
      <c r="D67" s="11" t="s">
        <v>89</v>
      </c>
      <c r="E67" s="11" t="s">
        <v>90</v>
      </c>
      <c r="F67" s="11" t="s">
        <v>94</v>
      </c>
      <c r="G67" s="11" t="s">
        <v>95</v>
      </c>
      <c r="I67" t="s">
        <v>530</v>
      </c>
      <c r="K67" t="s">
        <v>45</v>
      </c>
      <c r="L67" t="s">
        <v>89</v>
      </c>
      <c r="M67" t="s">
        <v>90</v>
      </c>
      <c r="N67" t="s">
        <v>2410</v>
      </c>
      <c r="O67" t="s">
        <v>2459</v>
      </c>
      <c r="Q67" t="e">
        <f t="shared" si="0"/>
        <v>#N/A</v>
      </c>
      <c r="R67">
        <f t="shared" si="1"/>
        <v>1</v>
      </c>
    </row>
    <row r="68" spans="1:18" x14ac:dyDescent="0.35">
      <c r="A68" s="11" t="s">
        <v>82</v>
      </c>
      <c r="B68" s="11" t="s">
        <v>531</v>
      </c>
      <c r="C68" s="11" t="s">
        <v>532</v>
      </c>
      <c r="D68" s="11" t="s">
        <v>89</v>
      </c>
      <c r="E68" s="11" t="s">
        <v>90</v>
      </c>
      <c r="F68" s="11" t="s">
        <v>94</v>
      </c>
      <c r="G68" s="11" t="s">
        <v>95</v>
      </c>
      <c r="I68" t="s">
        <v>532</v>
      </c>
      <c r="K68" t="s">
        <v>45</v>
      </c>
      <c r="L68" t="s">
        <v>89</v>
      </c>
      <c r="M68" t="s">
        <v>90</v>
      </c>
      <c r="N68" t="s">
        <v>2410</v>
      </c>
      <c r="O68" t="s">
        <v>2459</v>
      </c>
      <c r="Q68" t="e">
        <f t="shared" ref="Q68:Q131" si="2">MATCH(G68,K68,0)</f>
        <v>#N/A</v>
      </c>
      <c r="R68">
        <f t="shared" ref="R68:R131" si="3">MATCH(E68,M68,0)</f>
        <v>1</v>
      </c>
    </row>
    <row r="69" spans="1:18" x14ac:dyDescent="0.35">
      <c r="A69" s="11" t="s">
        <v>82</v>
      </c>
      <c r="B69" s="11" t="s">
        <v>533</v>
      </c>
      <c r="C69" s="11" t="s">
        <v>534</v>
      </c>
      <c r="D69" s="11" t="s">
        <v>89</v>
      </c>
      <c r="E69" s="11" t="s">
        <v>90</v>
      </c>
      <c r="F69" s="11" t="s">
        <v>94</v>
      </c>
      <c r="G69" s="11" t="s">
        <v>95</v>
      </c>
      <c r="I69" t="s">
        <v>534</v>
      </c>
      <c r="K69" t="s">
        <v>45</v>
      </c>
      <c r="L69" t="s">
        <v>89</v>
      </c>
      <c r="M69" t="s">
        <v>90</v>
      </c>
      <c r="N69" t="s">
        <v>2410</v>
      </c>
      <c r="O69" t="s">
        <v>2459</v>
      </c>
      <c r="Q69" t="e">
        <f t="shared" si="2"/>
        <v>#N/A</v>
      </c>
      <c r="R69">
        <f t="shared" si="3"/>
        <v>1</v>
      </c>
    </row>
    <row r="70" spans="1:18" x14ac:dyDescent="0.35">
      <c r="A70" s="11" t="s">
        <v>82</v>
      </c>
      <c r="B70" s="11" t="s">
        <v>535</v>
      </c>
      <c r="C70" s="11" t="s">
        <v>536</v>
      </c>
      <c r="D70" s="11" t="s">
        <v>89</v>
      </c>
      <c r="E70" s="11" t="s">
        <v>90</v>
      </c>
      <c r="F70" s="11" t="s">
        <v>94</v>
      </c>
      <c r="G70" s="11" t="s">
        <v>95</v>
      </c>
      <c r="I70" t="s">
        <v>536</v>
      </c>
      <c r="K70" t="s">
        <v>45</v>
      </c>
      <c r="L70" t="s">
        <v>89</v>
      </c>
      <c r="M70" t="s">
        <v>90</v>
      </c>
      <c r="N70" t="s">
        <v>2410</v>
      </c>
      <c r="O70" t="s">
        <v>2459</v>
      </c>
      <c r="Q70" t="e">
        <f t="shared" si="2"/>
        <v>#N/A</v>
      </c>
      <c r="R70">
        <f t="shared" si="3"/>
        <v>1</v>
      </c>
    </row>
    <row r="71" spans="1:18" x14ac:dyDescent="0.35">
      <c r="A71" s="11" t="s">
        <v>82</v>
      </c>
      <c r="B71" s="11" t="s">
        <v>537</v>
      </c>
      <c r="C71" s="11" t="s">
        <v>90</v>
      </c>
      <c r="D71" s="11" t="s">
        <v>89</v>
      </c>
      <c r="E71" s="11" t="s">
        <v>90</v>
      </c>
      <c r="F71" s="11" t="s">
        <v>94</v>
      </c>
      <c r="G71" s="11" t="s">
        <v>95</v>
      </c>
      <c r="I71" t="s">
        <v>90</v>
      </c>
      <c r="K71" t="s">
        <v>95</v>
      </c>
      <c r="L71" t="s">
        <v>89</v>
      </c>
      <c r="M71" t="s">
        <v>90</v>
      </c>
      <c r="N71" t="s">
        <v>2459</v>
      </c>
      <c r="O71" t="s">
        <v>2459</v>
      </c>
      <c r="Q71">
        <f t="shared" si="2"/>
        <v>1</v>
      </c>
      <c r="R71">
        <f t="shared" si="3"/>
        <v>1</v>
      </c>
    </row>
    <row r="72" spans="1:18" x14ac:dyDescent="0.35">
      <c r="A72" s="11" t="s">
        <v>82</v>
      </c>
      <c r="B72" s="11" t="s">
        <v>538</v>
      </c>
      <c r="C72" s="11" t="s">
        <v>539</v>
      </c>
      <c r="D72" s="11" t="s">
        <v>89</v>
      </c>
      <c r="E72" s="11" t="s">
        <v>90</v>
      </c>
      <c r="F72" s="11" t="s">
        <v>94</v>
      </c>
      <c r="G72" s="11" t="s">
        <v>95</v>
      </c>
      <c r="I72" t="s">
        <v>539</v>
      </c>
      <c r="K72" t="s">
        <v>95</v>
      </c>
      <c r="L72" t="s">
        <v>89</v>
      </c>
      <c r="M72" t="s">
        <v>90</v>
      </c>
      <c r="N72" t="s">
        <v>2459</v>
      </c>
      <c r="O72" t="s">
        <v>2459</v>
      </c>
      <c r="Q72">
        <f t="shared" si="2"/>
        <v>1</v>
      </c>
      <c r="R72">
        <f t="shared" si="3"/>
        <v>1</v>
      </c>
    </row>
    <row r="73" spans="1:18" x14ac:dyDescent="0.35">
      <c r="A73" s="11" t="s">
        <v>82</v>
      </c>
      <c r="B73" s="11" t="s">
        <v>540</v>
      </c>
      <c r="C73" s="11" t="s">
        <v>541</v>
      </c>
      <c r="D73" s="11" t="s">
        <v>89</v>
      </c>
      <c r="E73" s="11" t="s">
        <v>90</v>
      </c>
      <c r="F73" s="11" t="s">
        <v>94</v>
      </c>
      <c r="G73" s="11" t="s">
        <v>95</v>
      </c>
      <c r="I73" t="s">
        <v>541</v>
      </c>
      <c r="K73" t="s">
        <v>45</v>
      </c>
      <c r="L73" t="s">
        <v>89</v>
      </c>
      <c r="M73" t="s">
        <v>90</v>
      </c>
      <c r="N73" t="s">
        <v>2410</v>
      </c>
      <c r="O73" t="s">
        <v>2459</v>
      </c>
      <c r="Q73" t="e">
        <f t="shared" si="2"/>
        <v>#N/A</v>
      </c>
      <c r="R73">
        <f t="shared" si="3"/>
        <v>1</v>
      </c>
    </row>
    <row r="74" spans="1:18" x14ac:dyDescent="0.35">
      <c r="A74" s="11" t="s">
        <v>82</v>
      </c>
      <c r="B74" s="11" t="s">
        <v>542</v>
      </c>
      <c r="C74" s="11" t="s">
        <v>45</v>
      </c>
      <c r="D74" s="11" t="s">
        <v>89</v>
      </c>
      <c r="E74" s="11" t="s">
        <v>90</v>
      </c>
      <c r="F74" s="11" t="s">
        <v>94</v>
      </c>
      <c r="G74" s="11" t="s">
        <v>95</v>
      </c>
      <c r="I74" t="s">
        <v>45</v>
      </c>
      <c r="K74" t="s">
        <v>45</v>
      </c>
      <c r="L74" t="s">
        <v>89</v>
      </c>
      <c r="M74" t="s">
        <v>90</v>
      </c>
      <c r="N74" t="s">
        <v>2410</v>
      </c>
      <c r="O74" t="s">
        <v>2459</v>
      </c>
      <c r="Q74" t="e">
        <f t="shared" si="2"/>
        <v>#N/A</v>
      </c>
      <c r="R74">
        <f t="shared" si="3"/>
        <v>1</v>
      </c>
    </row>
    <row r="75" spans="1:18" x14ac:dyDescent="0.35">
      <c r="A75" s="11" t="s">
        <v>82</v>
      </c>
      <c r="B75" s="11" t="s">
        <v>543</v>
      </c>
      <c r="C75" s="11" t="s">
        <v>544</v>
      </c>
      <c r="D75" s="11" t="s">
        <v>89</v>
      </c>
      <c r="E75" s="11" t="s">
        <v>90</v>
      </c>
      <c r="F75" s="11" t="s">
        <v>94</v>
      </c>
      <c r="G75" s="11" t="s">
        <v>95</v>
      </c>
      <c r="I75" t="s">
        <v>544</v>
      </c>
      <c r="K75" t="s">
        <v>95</v>
      </c>
      <c r="L75" t="s">
        <v>89</v>
      </c>
      <c r="M75" t="s">
        <v>90</v>
      </c>
      <c r="N75" t="s">
        <v>2459</v>
      </c>
      <c r="O75" t="s">
        <v>2459</v>
      </c>
      <c r="Q75">
        <f t="shared" si="2"/>
        <v>1</v>
      </c>
      <c r="R75">
        <f t="shared" si="3"/>
        <v>1</v>
      </c>
    </row>
    <row r="76" spans="1:18" x14ac:dyDescent="0.35">
      <c r="A76" s="11" t="s">
        <v>82</v>
      </c>
      <c r="B76" s="11" t="s">
        <v>545</v>
      </c>
      <c r="C76" s="11" t="s">
        <v>546</v>
      </c>
      <c r="D76" s="11" t="s">
        <v>89</v>
      </c>
      <c r="E76" s="11" t="s">
        <v>90</v>
      </c>
      <c r="F76" s="11" t="s">
        <v>94</v>
      </c>
      <c r="G76" s="11" t="s">
        <v>95</v>
      </c>
      <c r="I76" t="s">
        <v>546</v>
      </c>
      <c r="K76" t="s">
        <v>95</v>
      </c>
      <c r="L76" t="s">
        <v>89</v>
      </c>
      <c r="M76" t="s">
        <v>90</v>
      </c>
      <c r="N76" t="s">
        <v>2459</v>
      </c>
      <c r="O76" t="s">
        <v>2459</v>
      </c>
      <c r="Q76">
        <f t="shared" si="2"/>
        <v>1</v>
      </c>
      <c r="R76">
        <f t="shared" si="3"/>
        <v>1</v>
      </c>
    </row>
    <row r="77" spans="1:18" x14ac:dyDescent="0.35">
      <c r="A77" s="11" t="s">
        <v>82</v>
      </c>
      <c r="B77" s="11" t="s">
        <v>547</v>
      </c>
      <c r="C77" s="11" t="s">
        <v>548</v>
      </c>
      <c r="D77" s="11" t="s">
        <v>89</v>
      </c>
      <c r="E77" s="11" t="s">
        <v>90</v>
      </c>
      <c r="F77" s="11" t="s">
        <v>94</v>
      </c>
      <c r="G77" s="11" t="s">
        <v>95</v>
      </c>
      <c r="I77" t="s">
        <v>548</v>
      </c>
      <c r="K77" t="s">
        <v>95</v>
      </c>
      <c r="L77" t="s">
        <v>89</v>
      </c>
      <c r="M77" t="s">
        <v>90</v>
      </c>
      <c r="N77" t="s">
        <v>2459</v>
      </c>
      <c r="O77" t="s">
        <v>2459</v>
      </c>
      <c r="Q77">
        <f t="shared" si="2"/>
        <v>1</v>
      </c>
      <c r="R77">
        <f t="shared" si="3"/>
        <v>1</v>
      </c>
    </row>
    <row r="78" spans="1:18" x14ac:dyDescent="0.35">
      <c r="A78" s="11" t="s">
        <v>82</v>
      </c>
      <c r="B78" s="11" t="s">
        <v>549</v>
      </c>
      <c r="C78" s="11" t="s">
        <v>550</v>
      </c>
      <c r="D78" s="11" t="s">
        <v>89</v>
      </c>
      <c r="E78" s="11" t="s">
        <v>90</v>
      </c>
      <c r="F78" s="11" t="s">
        <v>94</v>
      </c>
      <c r="G78" s="11" t="s">
        <v>95</v>
      </c>
      <c r="I78" t="s">
        <v>550</v>
      </c>
      <c r="K78" t="s">
        <v>95</v>
      </c>
      <c r="L78" t="s">
        <v>89</v>
      </c>
      <c r="M78" t="s">
        <v>90</v>
      </c>
      <c r="N78" t="s">
        <v>2459</v>
      </c>
      <c r="O78" t="s">
        <v>2459</v>
      </c>
      <c r="Q78">
        <f t="shared" si="2"/>
        <v>1</v>
      </c>
      <c r="R78">
        <f t="shared" si="3"/>
        <v>1</v>
      </c>
    </row>
    <row r="79" spans="1:18" x14ac:dyDescent="0.35">
      <c r="A79" s="11" t="s">
        <v>82</v>
      </c>
      <c r="B79" s="11" t="s">
        <v>551</v>
      </c>
      <c r="C79" s="11" t="s">
        <v>552</v>
      </c>
      <c r="D79" s="11" t="s">
        <v>89</v>
      </c>
      <c r="E79" s="11" t="s">
        <v>90</v>
      </c>
      <c r="F79" s="11" t="s">
        <v>97</v>
      </c>
      <c r="G79" s="11" t="s">
        <v>98</v>
      </c>
      <c r="I79" t="s">
        <v>552</v>
      </c>
      <c r="K79" t="s">
        <v>98</v>
      </c>
      <c r="L79" t="s">
        <v>89</v>
      </c>
      <c r="M79" t="s">
        <v>90</v>
      </c>
      <c r="N79" t="s">
        <v>2459</v>
      </c>
      <c r="O79" t="s">
        <v>2459</v>
      </c>
      <c r="Q79">
        <f t="shared" si="2"/>
        <v>1</v>
      </c>
      <c r="R79">
        <f t="shared" si="3"/>
        <v>1</v>
      </c>
    </row>
    <row r="80" spans="1:18" x14ac:dyDescent="0.35">
      <c r="A80" s="11" t="s">
        <v>82</v>
      </c>
      <c r="B80" s="11" t="s">
        <v>553</v>
      </c>
      <c r="C80" s="11" t="s">
        <v>554</v>
      </c>
      <c r="D80" s="11" t="s">
        <v>89</v>
      </c>
      <c r="E80" s="11" t="s">
        <v>90</v>
      </c>
      <c r="F80" s="11" t="s">
        <v>97</v>
      </c>
      <c r="G80" s="11" t="s">
        <v>98</v>
      </c>
      <c r="I80" t="s">
        <v>554</v>
      </c>
      <c r="K80" t="s">
        <v>98</v>
      </c>
      <c r="L80" t="s">
        <v>89</v>
      </c>
      <c r="M80" t="s">
        <v>90</v>
      </c>
      <c r="N80" t="s">
        <v>2459</v>
      </c>
      <c r="O80" t="s">
        <v>2459</v>
      </c>
      <c r="Q80">
        <f t="shared" si="2"/>
        <v>1</v>
      </c>
      <c r="R80">
        <f t="shared" si="3"/>
        <v>1</v>
      </c>
    </row>
    <row r="81" spans="1:18" x14ac:dyDescent="0.35">
      <c r="A81" s="11" t="s">
        <v>82</v>
      </c>
      <c r="B81" s="11" t="s">
        <v>555</v>
      </c>
      <c r="C81" s="11" t="s">
        <v>556</v>
      </c>
      <c r="D81" s="11" t="s">
        <v>89</v>
      </c>
      <c r="E81" s="11" t="s">
        <v>90</v>
      </c>
      <c r="F81" s="11" t="s">
        <v>97</v>
      </c>
      <c r="G81" s="11" t="s">
        <v>98</v>
      </c>
      <c r="I81" t="s">
        <v>556</v>
      </c>
      <c r="K81" t="s">
        <v>98</v>
      </c>
      <c r="L81" t="s">
        <v>89</v>
      </c>
      <c r="M81" t="s">
        <v>90</v>
      </c>
      <c r="N81" t="s">
        <v>2459</v>
      </c>
      <c r="O81" t="s">
        <v>2459</v>
      </c>
      <c r="Q81">
        <f t="shared" si="2"/>
        <v>1</v>
      </c>
      <c r="R81">
        <f t="shared" si="3"/>
        <v>1</v>
      </c>
    </row>
    <row r="82" spans="1:18" x14ac:dyDescent="0.35">
      <c r="A82" s="11" t="s">
        <v>82</v>
      </c>
      <c r="B82" s="11" t="s">
        <v>557</v>
      </c>
      <c r="C82" s="11" t="s">
        <v>558</v>
      </c>
      <c r="D82" s="11" t="s">
        <v>89</v>
      </c>
      <c r="E82" s="11" t="s">
        <v>90</v>
      </c>
      <c r="F82" s="11" t="s">
        <v>97</v>
      </c>
      <c r="G82" s="11" t="s">
        <v>98</v>
      </c>
      <c r="I82" t="s">
        <v>558</v>
      </c>
      <c r="K82" t="s">
        <v>98</v>
      </c>
      <c r="L82" t="s">
        <v>89</v>
      </c>
      <c r="M82" t="s">
        <v>90</v>
      </c>
      <c r="N82" t="s">
        <v>2459</v>
      </c>
      <c r="O82" t="s">
        <v>2459</v>
      </c>
      <c r="Q82">
        <f t="shared" si="2"/>
        <v>1</v>
      </c>
      <c r="R82">
        <f t="shared" si="3"/>
        <v>1</v>
      </c>
    </row>
    <row r="83" spans="1:18" x14ac:dyDescent="0.35">
      <c r="A83" s="11" t="s">
        <v>82</v>
      </c>
      <c r="B83" s="11" t="s">
        <v>559</v>
      </c>
      <c r="C83" s="11" t="s">
        <v>560</v>
      </c>
      <c r="D83" s="11" t="s">
        <v>89</v>
      </c>
      <c r="E83" s="11" t="s">
        <v>90</v>
      </c>
      <c r="F83" s="11" t="s">
        <v>97</v>
      </c>
      <c r="G83" s="11" t="s">
        <v>98</v>
      </c>
      <c r="I83" t="s">
        <v>560</v>
      </c>
      <c r="K83" t="s">
        <v>98</v>
      </c>
      <c r="L83" t="s">
        <v>89</v>
      </c>
      <c r="M83" t="s">
        <v>90</v>
      </c>
      <c r="N83" t="s">
        <v>2459</v>
      </c>
      <c r="O83" t="s">
        <v>2459</v>
      </c>
      <c r="Q83">
        <f t="shared" si="2"/>
        <v>1</v>
      </c>
      <c r="R83">
        <f t="shared" si="3"/>
        <v>1</v>
      </c>
    </row>
    <row r="84" spans="1:18" x14ac:dyDescent="0.35">
      <c r="A84" s="11" t="s">
        <v>82</v>
      </c>
      <c r="B84" s="11" t="s">
        <v>561</v>
      </c>
      <c r="C84" s="11" t="s">
        <v>562</v>
      </c>
      <c r="D84" s="11" t="s">
        <v>89</v>
      </c>
      <c r="E84" s="11" t="s">
        <v>90</v>
      </c>
      <c r="F84" s="11" t="s">
        <v>97</v>
      </c>
      <c r="G84" s="11" t="s">
        <v>98</v>
      </c>
      <c r="I84" t="s">
        <v>562</v>
      </c>
      <c r="K84" t="s">
        <v>98</v>
      </c>
      <c r="L84" t="s">
        <v>89</v>
      </c>
      <c r="M84" t="s">
        <v>90</v>
      </c>
      <c r="N84" t="s">
        <v>2459</v>
      </c>
      <c r="O84" t="s">
        <v>2459</v>
      </c>
      <c r="Q84">
        <f t="shared" si="2"/>
        <v>1</v>
      </c>
      <c r="R84">
        <f t="shared" si="3"/>
        <v>1</v>
      </c>
    </row>
    <row r="85" spans="1:18" x14ac:dyDescent="0.35">
      <c r="A85" s="11" t="s">
        <v>82</v>
      </c>
      <c r="B85" s="11" t="s">
        <v>563</v>
      </c>
      <c r="C85" s="11" t="s">
        <v>564</v>
      </c>
      <c r="D85" s="11" t="s">
        <v>89</v>
      </c>
      <c r="E85" s="11" t="s">
        <v>90</v>
      </c>
      <c r="F85" s="11" t="s">
        <v>97</v>
      </c>
      <c r="G85" s="11" t="s">
        <v>98</v>
      </c>
      <c r="I85" t="s">
        <v>564</v>
      </c>
      <c r="K85" t="s">
        <v>98</v>
      </c>
      <c r="L85" t="s">
        <v>89</v>
      </c>
      <c r="M85" t="s">
        <v>90</v>
      </c>
      <c r="N85" t="s">
        <v>2459</v>
      </c>
      <c r="O85" t="s">
        <v>2459</v>
      </c>
      <c r="Q85">
        <f t="shared" si="2"/>
        <v>1</v>
      </c>
      <c r="R85">
        <f t="shared" si="3"/>
        <v>1</v>
      </c>
    </row>
    <row r="86" spans="1:18" x14ac:dyDescent="0.35">
      <c r="A86" s="11" t="s">
        <v>82</v>
      </c>
      <c r="B86" s="11" t="s">
        <v>565</v>
      </c>
      <c r="C86" s="11" t="s">
        <v>566</v>
      </c>
      <c r="D86" s="11" t="s">
        <v>89</v>
      </c>
      <c r="E86" s="11" t="s">
        <v>90</v>
      </c>
      <c r="F86" s="11" t="s">
        <v>97</v>
      </c>
      <c r="G86" s="11" t="s">
        <v>98</v>
      </c>
      <c r="I86" t="s">
        <v>566</v>
      </c>
      <c r="K86" t="s">
        <v>98</v>
      </c>
      <c r="L86" t="s">
        <v>89</v>
      </c>
      <c r="M86" t="s">
        <v>90</v>
      </c>
      <c r="N86" t="s">
        <v>2459</v>
      </c>
      <c r="O86" t="s">
        <v>2459</v>
      </c>
      <c r="Q86">
        <f t="shared" si="2"/>
        <v>1</v>
      </c>
      <c r="R86">
        <f t="shared" si="3"/>
        <v>1</v>
      </c>
    </row>
    <row r="87" spans="1:18" x14ac:dyDescent="0.35">
      <c r="A87" s="11" t="s">
        <v>82</v>
      </c>
      <c r="B87" s="11" t="s">
        <v>567</v>
      </c>
      <c r="C87" s="11" t="s">
        <v>568</v>
      </c>
      <c r="D87" s="11" t="s">
        <v>89</v>
      </c>
      <c r="E87" s="11" t="s">
        <v>90</v>
      </c>
      <c r="F87" s="11" t="s">
        <v>97</v>
      </c>
      <c r="G87" s="11" t="s">
        <v>98</v>
      </c>
      <c r="I87" t="s">
        <v>568</v>
      </c>
      <c r="K87" t="s">
        <v>98</v>
      </c>
      <c r="L87" t="s">
        <v>89</v>
      </c>
      <c r="M87" t="s">
        <v>90</v>
      </c>
      <c r="N87" t="s">
        <v>2459</v>
      </c>
      <c r="O87" t="s">
        <v>2459</v>
      </c>
      <c r="Q87">
        <f t="shared" si="2"/>
        <v>1</v>
      </c>
      <c r="R87">
        <f t="shared" si="3"/>
        <v>1</v>
      </c>
    </row>
    <row r="88" spans="1:18" x14ac:dyDescent="0.35">
      <c r="A88" s="11" t="s">
        <v>82</v>
      </c>
      <c r="B88" s="11" t="s">
        <v>569</v>
      </c>
      <c r="C88" s="11" t="s">
        <v>570</v>
      </c>
      <c r="D88" s="11" t="s">
        <v>89</v>
      </c>
      <c r="E88" s="11" t="s">
        <v>90</v>
      </c>
      <c r="F88" s="11" t="s">
        <v>97</v>
      </c>
      <c r="G88" s="11" t="s">
        <v>98</v>
      </c>
      <c r="I88" t="s">
        <v>570</v>
      </c>
      <c r="K88" t="s">
        <v>98</v>
      </c>
      <c r="L88" t="s">
        <v>89</v>
      </c>
      <c r="M88" t="s">
        <v>90</v>
      </c>
      <c r="N88" t="s">
        <v>2459</v>
      </c>
      <c r="O88" t="s">
        <v>2459</v>
      </c>
      <c r="Q88">
        <f t="shared" si="2"/>
        <v>1</v>
      </c>
      <c r="R88">
        <f t="shared" si="3"/>
        <v>1</v>
      </c>
    </row>
    <row r="89" spans="1:18" x14ac:dyDescent="0.35">
      <c r="A89" s="11" t="s">
        <v>82</v>
      </c>
      <c r="B89" s="11" t="s">
        <v>571</v>
      </c>
      <c r="C89" s="11" t="s">
        <v>572</v>
      </c>
      <c r="D89" s="11" t="s">
        <v>89</v>
      </c>
      <c r="E89" s="11" t="s">
        <v>90</v>
      </c>
      <c r="F89" s="11" t="s">
        <v>97</v>
      </c>
      <c r="G89" s="11" t="s">
        <v>98</v>
      </c>
      <c r="I89" t="s">
        <v>572</v>
      </c>
      <c r="K89" t="s">
        <v>98</v>
      </c>
      <c r="L89" t="s">
        <v>89</v>
      </c>
      <c r="M89" t="s">
        <v>90</v>
      </c>
      <c r="N89" t="s">
        <v>2459</v>
      </c>
      <c r="O89" t="s">
        <v>2459</v>
      </c>
      <c r="Q89">
        <f t="shared" si="2"/>
        <v>1</v>
      </c>
      <c r="R89">
        <f t="shared" si="3"/>
        <v>1</v>
      </c>
    </row>
    <row r="90" spans="1:18" x14ac:dyDescent="0.35">
      <c r="A90" s="11" t="s">
        <v>82</v>
      </c>
      <c r="B90" s="11" t="s">
        <v>573</v>
      </c>
      <c r="C90" s="11" t="s">
        <v>103</v>
      </c>
      <c r="D90" s="11" t="s">
        <v>100</v>
      </c>
      <c r="E90" s="11" t="s">
        <v>101</v>
      </c>
      <c r="F90" s="11" t="s">
        <v>102</v>
      </c>
      <c r="G90" s="11" t="s">
        <v>103</v>
      </c>
      <c r="I90" t="s">
        <v>103</v>
      </c>
      <c r="K90" t="s">
        <v>103</v>
      </c>
      <c r="L90" t="s">
        <v>100</v>
      </c>
      <c r="M90" t="s">
        <v>101</v>
      </c>
      <c r="N90" t="s">
        <v>2459</v>
      </c>
      <c r="O90" t="s">
        <v>2459</v>
      </c>
      <c r="Q90">
        <f t="shared" si="2"/>
        <v>1</v>
      </c>
      <c r="R90">
        <f t="shared" si="3"/>
        <v>1</v>
      </c>
    </row>
    <row r="91" spans="1:18" x14ac:dyDescent="0.35">
      <c r="A91" s="11" t="s">
        <v>82</v>
      </c>
      <c r="B91" s="11" t="s">
        <v>574</v>
      </c>
      <c r="C91" s="11" t="s">
        <v>575</v>
      </c>
      <c r="D91" s="11" t="s">
        <v>100</v>
      </c>
      <c r="E91" s="11" t="s">
        <v>101</v>
      </c>
      <c r="F91" s="11" t="s">
        <v>102</v>
      </c>
      <c r="G91" s="11" t="s">
        <v>103</v>
      </c>
      <c r="I91" t="s">
        <v>575</v>
      </c>
      <c r="K91" t="s">
        <v>47</v>
      </c>
      <c r="L91" t="s">
        <v>100</v>
      </c>
      <c r="M91" t="s">
        <v>101</v>
      </c>
      <c r="N91" t="s">
        <v>2410</v>
      </c>
      <c r="O91" t="s">
        <v>2459</v>
      </c>
      <c r="Q91" t="e">
        <f t="shared" si="2"/>
        <v>#N/A</v>
      </c>
      <c r="R91">
        <f t="shared" si="3"/>
        <v>1</v>
      </c>
    </row>
    <row r="92" spans="1:18" x14ac:dyDescent="0.35">
      <c r="A92" s="11" t="s">
        <v>82</v>
      </c>
      <c r="B92" s="11" t="s">
        <v>576</v>
      </c>
      <c r="C92" s="11" t="s">
        <v>577</v>
      </c>
      <c r="D92" s="11" t="s">
        <v>100</v>
      </c>
      <c r="E92" s="11" t="s">
        <v>101</v>
      </c>
      <c r="F92" s="11" t="s">
        <v>102</v>
      </c>
      <c r="G92" s="11" t="s">
        <v>103</v>
      </c>
      <c r="I92" t="s">
        <v>577</v>
      </c>
      <c r="K92" t="s">
        <v>46</v>
      </c>
      <c r="L92" t="s">
        <v>100</v>
      </c>
      <c r="M92" t="s">
        <v>101</v>
      </c>
      <c r="N92" t="s">
        <v>2410</v>
      </c>
      <c r="O92" t="s">
        <v>2459</v>
      </c>
      <c r="Q92" t="e">
        <f t="shared" si="2"/>
        <v>#N/A</v>
      </c>
      <c r="R92">
        <f t="shared" si="3"/>
        <v>1</v>
      </c>
    </row>
    <row r="93" spans="1:18" x14ac:dyDescent="0.35">
      <c r="A93" s="11"/>
      <c r="B93" s="11"/>
      <c r="C93" s="11"/>
      <c r="D93" s="11"/>
      <c r="E93" s="11"/>
      <c r="F93" s="11"/>
      <c r="G93" s="11"/>
      <c r="I93" t="s">
        <v>2103</v>
      </c>
      <c r="K93" t="s">
        <v>64</v>
      </c>
      <c r="L93" t="s">
        <v>83</v>
      </c>
      <c r="M93" t="s">
        <v>84</v>
      </c>
      <c r="N93" t="s">
        <v>2410</v>
      </c>
      <c r="O93" t="s">
        <v>2410</v>
      </c>
      <c r="P93" t="s">
        <v>2253</v>
      </c>
      <c r="Q93" t="e">
        <f t="shared" si="2"/>
        <v>#N/A</v>
      </c>
      <c r="R93" t="e">
        <f t="shared" si="3"/>
        <v>#N/A</v>
      </c>
    </row>
    <row r="94" spans="1:18" x14ac:dyDescent="0.35">
      <c r="A94" s="11"/>
      <c r="B94" s="11"/>
      <c r="C94" s="11"/>
      <c r="D94" s="11"/>
      <c r="E94" s="11"/>
      <c r="F94" s="11"/>
      <c r="G94" s="11"/>
      <c r="I94" t="s">
        <v>2110</v>
      </c>
      <c r="K94" t="s">
        <v>47</v>
      </c>
      <c r="L94" t="s">
        <v>100</v>
      </c>
      <c r="M94" t="s">
        <v>101</v>
      </c>
      <c r="P94" t="s">
        <v>2253</v>
      </c>
      <c r="Q94" t="e">
        <f t="shared" si="2"/>
        <v>#N/A</v>
      </c>
      <c r="R94" t="e">
        <f t="shared" si="3"/>
        <v>#N/A</v>
      </c>
    </row>
    <row r="95" spans="1:18" x14ac:dyDescent="0.35">
      <c r="A95" s="11"/>
      <c r="B95" s="11"/>
      <c r="C95" s="11"/>
      <c r="D95" s="11"/>
      <c r="E95" s="11"/>
      <c r="F95" s="11"/>
      <c r="G95" s="11"/>
      <c r="I95" t="s">
        <v>2111</v>
      </c>
      <c r="K95" t="s">
        <v>47</v>
      </c>
      <c r="L95" t="s">
        <v>100</v>
      </c>
      <c r="M95" t="s">
        <v>101</v>
      </c>
      <c r="P95" t="s">
        <v>2253</v>
      </c>
      <c r="Q95" t="e">
        <f t="shared" si="2"/>
        <v>#N/A</v>
      </c>
      <c r="R95" t="e">
        <f t="shared" si="3"/>
        <v>#N/A</v>
      </c>
    </row>
    <row r="96" spans="1:18" x14ac:dyDescent="0.35">
      <c r="A96" s="11"/>
      <c r="B96" s="11"/>
      <c r="C96" s="11"/>
      <c r="D96" s="11"/>
      <c r="E96" s="11"/>
      <c r="F96" s="11"/>
      <c r="G96" s="11"/>
      <c r="I96" t="s">
        <v>2109</v>
      </c>
      <c r="K96" t="s">
        <v>46</v>
      </c>
      <c r="L96" t="s">
        <v>100</v>
      </c>
      <c r="M96" t="s">
        <v>101</v>
      </c>
      <c r="P96" t="s">
        <v>2253</v>
      </c>
      <c r="Q96" t="e">
        <f t="shared" si="2"/>
        <v>#N/A</v>
      </c>
      <c r="R96" t="e">
        <f t="shared" si="3"/>
        <v>#N/A</v>
      </c>
    </row>
    <row r="97" spans="1:18" x14ac:dyDescent="0.35">
      <c r="A97" s="11"/>
      <c r="B97" s="11"/>
      <c r="C97" s="11"/>
      <c r="D97" s="11"/>
      <c r="E97" s="11"/>
      <c r="F97" s="11"/>
      <c r="G97" s="11"/>
      <c r="I97" t="s">
        <v>2104</v>
      </c>
      <c r="K97" t="s">
        <v>46</v>
      </c>
      <c r="L97" t="s">
        <v>100</v>
      </c>
      <c r="M97" t="s">
        <v>101</v>
      </c>
      <c r="P97" t="s">
        <v>2253</v>
      </c>
      <c r="Q97" t="e">
        <f t="shared" si="2"/>
        <v>#N/A</v>
      </c>
      <c r="R97" t="e">
        <f t="shared" si="3"/>
        <v>#N/A</v>
      </c>
    </row>
    <row r="98" spans="1:18" x14ac:dyDescent="0.35">
      <c r="A98" s="11" t="s">
        <v>82</v>
      </c>
      <c r="B98" s="11" t="s">
        <v>578</v>
      </c>
      <c r="C98" s="11" t="s">
        <v>579</v>
      </c>
      <c r="D98" s="11" t="s">
        <v>100</v>
      </c>
      <c r="E98" s="11" t="s">
        <v>101</v>
      </c>
      <c r="F98" s="11" t="s">
        <v>102</v>
      </c>
      <c r="G98" s="11" t="s">
        <v>103</v>
      </c>
      <c r="I98" t="s">
        <v>579</v>
      </c>
      <c r="K98" t="s">
        <v>47</v>
      </c>
      <c r="L98" t="s">
        <v>100</v>
      </c>
      <c r="M98" t="s">
        <v>101</v>
      </c>
      <c r="N98" t="s">
        <v>2410</v>
      </c>
      <c r="O98" t="s">
        <v>2459</v>
      </c>
      <c r="Q98" t="e">
        <f t="shared" si="2"/>
        <v>#N/A</v>
      </c>
      <c r="R98">
        <f t="shared" si="3"/>
        <v>1</v>
      </c>
    </row>
    <row r="99" spans="1:18" x14ac:dyDescent="0.35">
      <c r="A99" s="11" t="s">
        <v>82</v>
      </c>
      <c r="B99" s="11" t="s">
        <v>580</v>
      </c>
      <c r="C99" s="11" t="s">
        <v>581</v>
      </c>
      <c r="D99" s="11" t="s">
        <v>100</v>
      </c>
      <c r="E99" s="11" t="s">
        <v>101</v>
      </c>
      <c r="F99" s="11" t="s">
        <v>102</v>
      </c>
      <c r="G99" s="11" t="s">
        <v>103</v>
      </c>
      <c r="I99" t="s">
        <v>581</v>
      </c>
      <c r="K99" t="s">
        <v>103</v>
      </c>
      <c r="L99" t="s">
        <v>100</v>
      </c>
      <c r="M99" t="s">
        <v>101</v>
      </c>
      <c r="N99" t="s">
        <v>2459</v>
      </c>
      <c r="O99" t="s">
        <v>2459</v>
      </c>
      <c r="Q99">
        <f t="shared" si="2"/>
        <v>1</v>
      </c>
      <c r="R99">
        <f t="shared" si="3"/>
        <v>1</v>
      </c>
    </row>
    <row r="100" spans="1:18" x14ac:dyDescent="0.35">
      <c r="A100" s="11" t="s">
        <v>82</v>
      </c>
      <c r="B100" s="11" t="s">
        <v>582</v>
      </c>
      <c r="C100" s="11" t="s">
        <v>583</v>
      </c>
      <c r="D100" s="11" t="s">
        <v>100</v>
      </c>
      <c r="E100" s="11" t="s">
        <v>101</v>
      </c>
      <c r="F100" s="11" t="s">
        <v>102</v>
      </c>
      <c r="G100" s="11" t="s">
        <v>103</v>
      </c>
      <c r="I100" t="s">
        <v>583</v>
      </c>
      <c r="K100" t="s">
        <v>47</v>
      </c>
      <c r="L100" t="s">
        <v>100</v>
      </c>
      <c r="M100" t="s">
        <v>101</v>
      </c>
      <c r="N100" t="s">
        <v>2410</v>
      </c>
      <c r="O100" t="s">
        <v>2459</v>
      </c>
      <c r="Q100" t="e">
        <f t="shared" si="2"/>
        <v>#N/A</v>
      </c>
      <c r="R100">
        <f t="shared" si="3"/>
        <v>1</v>
      </c>
    </row>
    <row r="101" spans="1:18" x14ac:dyDescent="0.35">
      <c r="A101" s="11" t="s">
        <v>82</v>
      </c>
      <c r="B101" s="11" t="s">
        <v>584</v>
      </c>
      <c r="C101" s="11" t="s">
        <v>585</v>
      </c>
      <c r="D101" s="11" t="s">
        <v>100</v>
      </c>
      <c r="E101" s="11" t="s">
        <v>101</v>
      </c>
      <c r="F101" s="11" t="s">
        <v>102</v>
      </c>
      <c r="G101" s="11" t="s">
        <v>103</v>
      </c>
      <c r="I101" t="s">
        <v>585</v>
      </c>
      <c r="K101" t="s">
        <v>47</v>
      </c>
      <c r="L101" t="s">
        <v>100</v>
      </c>
      <c r="M101" t="s">
        <v>101</v>
      </c>
      <c r="N101" t="s">
        <v>2410</v>
      </c>
      <c r="O101" t="s">
        <v>2459</v>
      </c>
      <c r="Q101" t="e">
        <f t="shared" si="2"/>
        <v>#N/A</v>
      </c>
      <c r="R101">
        <f t="shared" si="3"/>
        <v>1</v>
      </c>
    </row>
    <row r="102" spans="1:18" x14ac:dyDescent="0.35">
      <c r="A102" s="11" t="s">
        <v>82</v>
      </c>
      <c r="B102" s="11" t="s">
        <v>586</v>
      </c>
      <c r="C102" s="11" t="s">
        <v>587</v>
      </c>
      <c r="D102" s="11" t="s">
        <v>100</v>
      </c>
      <c r="E102" s="11" t="s">
        <v>101</v>
      </c>
      <c r="F102" s="11" t="s">
        <v>102</v>
      </c>
      <c r="G102" s="11" t="s">
        <v>103</v>
      </c>
      <c r="I102" t="s">
        <v>587</v>
      </c>
      <c r="K102" t="s">
        <v>46</v>
      </c>
      <c r="L102" t="s">
        <v>100</v>
      </c>
      <c r="M102" t="s">
        <v>101</v>
      </c>
      <c r="N102" t="s">
        <v>2410</v>
      </c>
      <c r="O102" t="s">
        <v>2459</v>
      </c>
      <c r="Q102" t="e">
        <f t="shared" si="2"/>
        <v>#N/A</v>
      </c>
      <c r="R102">
        <f t="shared" si="3"/>
        <v>1</v>
      </c>
    </row>
    <row r="103" spans="1:18" x14ac:dyDescent="0.35">
      <c r="A103" s="11"/>
      <c r="B103" s="11"/>
      <c r="C103" s="11"/>
      <c r="D103" s="11"/>
      <c r="E103" s="11"/>
      <c r="F103" s="11"/>
      <c r="G103" s="11"/>
      <c r="I103" t="s">
        <v>2112</v>
      </c>
      <c r="K103" t="s">
        <v>47</v>
      </c>
      <c r="L103" t="s">
        <v>100</v>
      </c>
      <c r="M103" t="s">
        <v>101</v>
      </c>
      <c r="P103" t="s">
        <v>2254</v>
      </c>
      <c r="Q103" t="e">
        <f t="shared" si="2"/>
        <v>#N/A</v>
      </c>
      <c r="R103" t="e">
        <f t="shared" si="3"/>
        <v>#N/A</v>
      </c>
    </row>
    <row r="104" spans="1:18" x14ac:dyDescent="0.35">
      <c r="A104" s="11"/>
      <c r="B104" s="11"/>
      <c r="C104" s="11"/>
      <c r="D104" s="11"/>
      <c r="E104" s="11"/>
      <c r="F104" s="11"/>
      <c r="G104" s="11"/>
      <c r="I104" t="s">
        <v>2113</v>
      </c>
      <c r="K104" t="s">
        <v>47</v>
      </c>
      <c r="L104" t="s">
        <v>100</v>
      </c>
      <c r="M104" t="s">
        <v>101</v>
      </c>
      <c r="P104" t="s">
        <v>2254</v>
      </c>
      <c r="Q104" t="e">
        <f t="shared" si="2"/>
        <v>#N/A</v>
      </c>
      <c r="R104" t="e">
        <f t="shared" si="3"/>
        <v>#N/A</v>
      </c>
    </row>
    <row r="105" spans="1:18" x14ac:dyDescent="0.35">
      <c r="A105" s="11"/>
      <c r="B105" s="11"/>
      <c r="C105" s="11"/>
      <c r="D105" s="11"/>
      <c r="E105" s="11"/>
      <c r="F105" s="11"/>
      <c r="G105" s="11"/>
      <c r="I105" t="s">
        <v>2105</v>
      </c>
      <c r="K105" t="s">
        <v>46</v>
      </c>
      <c r="L105" t="s">
        <v>100</v>
      </c>
      <c r="M105" t="s">
        <v>101</v>
      </c>
      <c r="P105" t="s">
        <v>2254</v>
      </c>
      <c r="Q105" t="e">
        <f t="shared" si="2"/>
        <v>#N/A</v>
      </c>
      <c r="R105" t="e">
        <f t="shared" si="3"/>
        <v>#N/A</v>
      </c>
    </row>
    <row r="106" spans="1:18" x14ac:dyDescent="0.35">
      <c r="A106" s="11"/>
      <c r="B106" s="11"/>
      <c r="C106" s="11"/>
      <c r="D106" s="11"/>
      <c r="E106" s="11"/>
      <c r="F106" s="11"/>
      <c r="G106" s="11"/>
      <c r="I106" t="s">
        <v>2106</v>
      </c>
      <c r="K106" t="s">
        <v>46</v>
      </c>
      <c r="L106" t="s">
        <v>100</v>
      </c>
      <c r="M106" t="s">
        <v>101</v>
      </c>
      <c r="P106" t="s">
        <v>2254</v>
      </c>
      <c r="Q106" t="e">
        <f t="shared" si="2"/>
        <v>#N/A</v>
      </c>
      <c r="R106" t="e">
        <f t="shared" si="3"/>
        <v>#N/A</v>
      </c>
    </row>
    <row r="107" spans="1:18" x14ac:dyDescent="0.35">
      <c r="A107" s="11"/>
      <c r="B107" s="11"/>
      <c r="C107" s="11"/>
      <c r="D107" s="11"/>
      <c r="E107" s="11"/>
      <c r="F107" s="11"/>
      <c r="G107" s="11"/>
      <c r="I107" t="s">
        <v>2107</v>
      </c>
      <c r="K107" t="s">
        <v>46</v>
      </c>
      <c r="L107" t="s">
        <v>100</v>
      </c>
      <c r="M107" t="s">
        <v>101</v>
      </c>
      <c r="P107" t="s">
        <v>2254</v>
      </c>
      <c r="Q107" t="e">
        <f t="shared" si="2"/>
        <v>#N/A</v>
      </c>
      <c r="R107" t="e">
        <f t="shared" si="3"/>
        <v>#N/A</v>
      </c>
    </row>
    <row r="108" spans="1:18" x14ac:dyDescent="0.35">
      <c r="A108" s="11"/>
      <c r="B108" s="11"/>
      <c r="C108" s="11"/>
      <c r="D108" s="11"/>
      <c r="E108" s="11"/>
      <c r="F108" s="11"/>
      <c r="G108" s="11"/>
      <c r="I108" t="s">
        <v>2108</v>
      </c>
      <c r="K108" t="s">
        <v>46</v>
      </c>
      <c r="L108" t="s">
        <v>100</v>
      </c>
      <c r="M108" t="s">
        <v>101</v>
      </c>
      <c r="P108" t="s">
        <v>2254</v>
      </c>
      <c r="Q108" t="e">
        <f t="shared" si="2"/>
        <v>#N/A</v>
      </c>
      <c r="R108" t="e">
        <f t="shared" si="3"/>
        <v>#N/A</v>
      </c>
    </row>
    <row r="109" spans="1:18" x14ac:dyDescent="0.35">
      <c r="A109" s="11" t="s">
        <v>82</v>
      </c>
      <c r="B109" s="11" t="s">
        <v>588</v>
      </c>
      <c r="C109" s="11" t="s">
        <v>589</v>
      </c>
      <c r="D109" s="11" t="s">
        <v>100</v>
      </c>
      <c r="E109" s="11" t="s">
        <v>101</v>
      </c>
      <c r="F109" s="11" t="s">
        <v>102</v>
      </c>
      <c r="G109" s="11" t="s">
        <v>103</v>
      </c>
      <c r="I109" t="s">
        <v>589</v>
      </c>
      <c r="K109" t="s">
        <v>46</v>
      </c>
      <c r="L109" t="s">
        <v>100</v>
      </c>
      <c r="M109" t="s">
        <v>101</v>
      </c>
      <c r="N109" t="s">
        <v>2410</v>
      </c>
      <c r="O109" t="s">
        <v>2459</v>
      </c>
      <c r="Q109" t="e">
        <f t="shared" si="2"/>
        <v>#N/A</v>
      </c>
      <c r="R109">
        <f t="shared" si="3"/>
        <v>1</v>
      </c>
    </row>
    <row r="110" spans="1:18" x14ac:dyDescent="0.35">
      <c r="A110" s="11" t="s">
        <v>82</v>
      </c>
      <c r="B110" s="11" t="s">
        <v>590</v>
      </c>
      <c r="C110" s="11" t="s">
        <v>106</v>
      </c>
      <c r="D110" s="11" t="s">
        <v>100</v>
      </c>
      <c r="E110" s="11" t="s">
        <v>101</v>
      </c>
      <c r="F110" s="11" t="s">
        <v>105</v>
      </c>
      <c r="G110" s="11" t="s">
        <v>106</v>
      </c>
      <c r="I110" t="s">
        <v>106</v>
      </c>
      <c r="K110" t="s">
        <v>106</v>
      </c>
      <c r="L110" t="s">
        <v>100</v>
      </c>
      <c r="M110" t="s">
        <v>101</v>
      </c>
      <c r="N110" t="s">
        <v>2459</v>
      </c>
      <c r="O110" t="s">
        <v>2459</v>
      </c>
      <c r="Q110">
        <f t="shared" si="2"/>
        <v>1</v>
      </c>
      <c r="R110">
        <f t="shared" si="3"/>
        <v>1</v>
      </c>
    </row>
    <row r="111" spans="1:18" x14ac:dyDescent="0.35">
      <c r="A111" s="11" t="s">
        <v>82</v>
      </c>
      <c r="B111" s="11" t="s">
        <v>591</v>
      </c>
      <c r="C111" s="11" t="s">
        <v>592</v>
      </c>
      <c r="D111" s="11" t="s">
        <v>100</v>
      </c>
      <c r="E111" s="11" t="s">
        <v>101</v>
      </c>
      <c r="F111" s="11" t="s">
        <v>105</v>
      </c>
      <c r="G111" s="11" t="s">
        <v>106</v>
      </c>
      <c r="I111" t="s">
        <v>592</v>
      </c>
      <c r="K111" t="s">
        <v>103</v>
      </c>
      <c r="L111" t="s">
        <v>100</v>
      </c>
      <c r="M111" t="s">
        <v>101</v>
      </c>
      <c r="N111" t="s">
        <v>2410</v>
      </c>
      <c r="O111" t="s">
        <v>2459</v>
      </c>
      <c r="Q111" t="e">
        <f t="shared" si="2"/>
        <v>#N/A</v>
      </c>
      <c r="R111">
        <f t="shared" si="3"/>
        <v>1</v>
      </c>
    </row>
    <row r="112" spans="1:18" x14ac:dyDescent="0.35">
      <c r="A112" s="11" t="s">
        <v>82</v>
      </c>
      <c r="B112" s="11" t="s">
        <v>593</v>
      </c>
      <c r="C112" s="11" t="s">
        <v>594</v>
      </c>
      <c r="D112" s="11" t="s">
        <v>100</v>
      </c>
      <c r="E112" s="11" t="s">
        <v>101</v>
      </c>
      <c r="F112" s="11" t="s">
        <v>105</v>
      </c>
      <c r="G112" s="11" t="s">
        <v>106</v>
      </c>
      <c r="I112" t="s">
        <v>594</v>
      </c>
      <c r="K112" t="s">
        <v>103</v>
      </c>
      <c r="L112" t="s">
        <v>100</v>
      </c>
      <c r="M112" t="s">
        <v>101</v>
      </c>
      <c r="N112" t="s">
        <v>2410</v>
      </c>
      <c r="O112" t="s">
        <v>2459</v>
      </c>
      <c r="Q112" t="e">
        <f t="shared" si="2"/>
        <v>#N/A</v>
      </c>
      <c r="R112">
        <f t="shared" si="3"/>
        <v>1</v>
      </c>
    </row>
    <row r="113" spans="1:18" x14ac:dyDescent="0.35">
      <c r="A113" s="11" t="s">
        <v>82</v>
      </c>
      <c r="B113" s="11" t="s">
        <v>595</v>
      </c>
      <c r="C113" s="11" t="s">
        <v>596</v>
      </c>
      <c r="D113" s="11" t="s">
        <v>100</v>
      </c>
      <c r="E113" s="11" t="s">
        <v>101</v>
      </c>
      <c r="F113" s="11" t="s">
        <v>105</v>
      </c>
      <c r="G113" s="11" t="s">
        <v>106</v>
      </c>
      <c r="I113" t="s">
        <v>596</v>
      </c>
      <c r="K113" t="s">
        <v>106</v>
      </c>
      <c r="L113" t="s">
        <v>100</v>
      </c>
      <c r="M113" t="s">
        <v>101</v>
      </c>
      <c r="N113" t="s">
        <v>2459</v>
      </c>
      <c r="O113" t="s">
        <v>2459</v>
      </c>
      <c r="Q113">
        <f t="shared" si="2"/>
        <v>1</v>
      </c>
      <c r="R113">
        <f t="shared" si="3"/>
        <v>1</v>
      </c>
    </row>
    <row r="114" spans="1:18" x14ac:dyDescent="0.35">
      <c r="A114" s="11" t="s">
        <v>82</v>
      </c>
      <c r="B114" s="11" t="s">
        <v>597</v>
      </c>
      <c r="C114" s="11" t="s">
        <v>598</v>
      </c>
      <c r="D114" s="11" t="s">
        <v>100</v>
      </c>
      <c r="E114" s="11" t="s">
        <v>101</v>
      </c>
      <c r="F114" s="11" t="s">
        <v>105</v>
      </c>
      <c r="G114" s="11" t="s">
        <v>106</v>
      </c>
      <c r="I114" t="s">
        <v>598</v>
      </c>
      <c r="K114" t="s">
        <v>106</v>
      </c>
      <c r="L114" t="s">
        <v>100</v>
      </c>
      <c r="M114" t="s">
        <v>101</v>
      </c>
      <c r="N114" t="s">
        <v>2459</v>
      </c>
      <c r="O114" t="s">
        <v>2459</v>
      </c>
      <c r="Q114">
        <f t="shared" si="2"/>
        <v>1</v>
      </c>
      <c r="R114">
        <f t="shared" si="3"/>
        <v>1</v>
      </c>
    </row>
    <row r="115" spans="1:18" x14ac:dyDescent="0.35">
      <c r="A115" s="11" t="s">
        <v>82</v>
      </c>
      <c r="B115" s="11" t="s">
        <v>599</v>
      </c>
      <c r="C115" s="11" t="s">
        <v>600</v>
      </c>
      <c r="D115" s="11" t="s">
        <v>100</v>
      </c>
      <c r="E115" s="11" t="s">
        <v>101</v>
      </c>
      <c r="F115" s="11" t="s">
        <v>105</v>
      </c>
      <c r="G115" s="11" t="s">
        <v>106</v>
      </c>
      <c r="I115" t="s">
        <v>600</v>
      </c>
      <c r="K115" t="s">
        <v>103</v>
      </c>
      <c r="L115" t="s">
        <v>100</v>
      </c>
      <c r="M115" t="s">
        <v>101</v>
      </c>
      <c r="N115" t="s">
        <v>2410</v>
      </c>
      <c r="O115" t="s">
        <v>2459</v>
      </c>
      <c r="Q115" t="e">
        <f t="shared" si="2"/>
        <v>#N/A</v>
      </c>
      <c r="R115">
        <f t="shared" si="3"/>
        <v>1</v>
      </c>
    </row>
    <row r="116" spans="1:18" x14ac:dyDescent="0.35">
      <c r="A116" s="11" t="s">
        <v>82</v>
      </c>
      <c r="B116" s="11" t="s">
        <v>601</v>
      </c>
      <c r="C116" s="11" t="s">
        <v>602</v>
      </c>
      <c r="D116" s="11" t="s">
        <v>100</v>
      </c>
      <c r="E116" s="11" t="s">
        <v>101</v>
      </c>
      <c r="F116" s="11" t="s">
        <v>105</v>
      </c>
      <c r="G116" s="11" t="s">
        <v>106</v>
      </c>
      <c r="I116" t="s">
        <v>602</v>
      </c>
      <c r="K116" t="s">
        <v>103</v>
      </c>
      <c r="L116" t="s">
        <v>100</v>
      </c>
      <c r="M116" t="s">
        <v>101</v>
      </c>
      <c r="N116" t="s">
        <v>2410</v>
      </c>
      <c r="O116" t="s">
        <v>2459</v>
      </c>
      <c r="Q116" t="e">
        <f t="shared" si="2"/>
        <v>#N/A</v>
      </c>
      <c r="R116">
        <f t="shared" si="3"/>
        <v>1</v>
      </c>
    </row>
    <row r="117" spans="1:18" x14ac:dyDescent="0.35">
      <c r="A117" s="11" t="s">
        <v>82</v>
      </c>
      <c r="B117" s="11" t="s">
        <v>603</v>
      </c>
      <c r="C117" s="11" t="s">
        <v>604</v>
      </c>
      <c r="D117" s="11" t="s">
        <v>100</v>
      </c>
      <c r="E117" s="11" t="s">
        <v>101</v>
      </c>
      <c r="F117" s="11" t="s">
        <v>105</v>
      </c>
      <c r="G117" s="11" t="s">
        <v>106</v>
      </c>
      <c r="I117" t="s">
        <v>604</v>
      </c>
      <c r="K117" t="s">
        <v>103</v>
      </c>
      <c r="L117" t="s">
        <v>100</v>
      </c>
      <c r="M117" t="s">
        <v>101</v>
      </c>
      <c r="N117" t="s">
        <v>2410</v>
      </c>
      <c r="O117" t="s">
        <v>2459</v>
      </c>
      <c r="Q117" t="e">
        <f t="shared" si="2"/>
        <v>#N/A</v>
      </c>
      <c r="R117">
        <f t="shared" si="3"/>
        <v>1</v>
      </c>
    </row>
    <row r="118" spans="1:18" x14ac:dyDescent="0.35">
      <c r="A118" s="11" t="s">
        <v>82</v>
      </c>
      <c r="B118" s="11" t="s">
        <v>605</v>
      </c>
      <c r="C118" s="11" t="s">
        <v>606</v>
      </c>
      <c r="D118" s="11" t="s">
        <v>100</v>
      </c>
      <c r="E118" s="11" t="s">
        <v>101</v>
      </c>
      <c r="F118" s="11" t="s">
        <v>108</v>
      </c>
      <c r="G118" s="11" t="s">
        <v>109</v>
      </c>
      <c r="I118" t="s">
        <v>606</v>
      </c>
      <c r="K118" t="s">
        <v>109</v>
      </c>
      <c r="L118" t="s">
        <v>100</v>
      </c>
      <c r="M118" t="s">
        <v>101</v>
      </c>
      <c r="N118" t="s">
        <v>2459</v>
      </c>
      <c r="O118" t="s">
        <v>2459</v>
      </c>
      <c r="Q118">
        <f t="shared" si="2"/>
        <v>1</v>
      </c>
      <c r="R118">
        <f t="shared" si="3"/>
        <v>1</v>
      </c>
    </row>
    <row r="119" spans="1:18" x14ac:dyDescent="0.35">
      <c r="A119" s="11" t="s">
        <v>82</v>
      </c>
      <c r="B119" s="11" t="s">
        <v>607</v>
      </c>
      <c r="C119" s="11" t="s">
        <v>608</v>
      </c>
      <c r="D119" s="11" t="s">
        <v>100</v>
      </c>
      <c r="E119" s="11" t="s">
        <v>101</v>
      </c>
      <c r="F119" s="11" t="s">
        <v>108</v>
      </c>
      <c r="G119" s="11" t="s">
        <v>109</v>
      </c>
      <c r="I119" t="s">
        <v>608</v>
      </c>
      <c r="K119" t="s">
        <v>109</v>
      </c>
      <c r="L119" t="s">
        <v>100</v>
      </c>
      <c r="M119" t="s">
        <v>101</v>
      </c>
      <c r="N119" t="s">
        <v>2459</v>
      </c>
      <c r="O119" t="s">
        <v>2459</v>
      </c>
      <c r="Q119">
        <f t="shared" si="2"/>
        <v>1</v>
      </c>
      <c r="R119">
        <f t="shared" si="3"/>
        <v>1</v>
      </c>
    </row>
    <row r="120" spans="1:18" x14ac:dyDescent="0.35">
      <c r="A120" s="11" t="s">
        <v>82</v>
      </c>
      <c r="B120" s="11" t="s">
        <v>609</v>
      </c>
      <c r="C120" s="11" t="s">
        <v>109</v>
      </c>
      <c r="D120" s="11" t="s">
        <v>100</v>
      </c>
      <c r="E120" s="11" t="s">
        <v>101</v>
      </c>
      <c r="F120" s="11" t="s">
        <v>108</v>
      </c>
      <c r="G120" s="11" t="s">
        <v>109</v>
      </c>
      <c r="I120" t="s">
        <v>109</v>
      </c>
      <c r="K120" t="s">
        <v>109</v>
      </c>
      <c r="L120" t="s">
        <v>100</v>
      </c>
      <c r="M120" t="s">
        <v>101</v>
      </c>
      <c r="N120" t="s">
        <v>2459</v>
      </c>
      <c r="O120" t="s">
        <v>2459</v>
      </c>
      <c r="Q120">
        <f t="shared" si="2"/>
        <v>1</v>
      </c>
      <c r="R120">
        <f t="shared" si="3"/>
        <v>1</v>
      </c>
    </row>
    <row r="121" spans="1:18" x14ac:dyDescent="0.35">
      <c r="A121" s="11" t="s">
        <v>82</v>
      </c>
      <c r="B121" s="11" t="s">
        <v>610</v>
      </c>
      <c r="C121" s="11" t="s">
        <v>611</v>
      </c>
      <c r="D121" s="11" t="s">
        <v>100</v>
      </c>
      <c r="E121" s="11" t="s">
        <v>101</v>
      </c>
      <c r="F121" s="11" t="s">
        <v>108</v>
      </c>
      <c r="G121" s="11" t="s">
        <v>109</v>
      </c>
      <c r="I121" t="s">
        <v>611</v>
      </c>
      <c r="K121" t="s">
        <v>109</v>
      </c>
      <c r="L121" t="s">
        <v>100</v>
      </c>
      <c r="M121" t="s">
        <v>101</v>
      </c>
      <c r="N121" t="s">
        <v>2459</v>
      </c>
      <c r="O121" t="s">
        <v>2459</v>
      </c>
      <c r="Q121">
        <f t="shared" si="2"/>
        <v>1</v>
      </c>
      <c r="R121">
        <f t="shared" si="3"/>
        <v>1</v>
      </c>
    </row>
    <row r="122" spans="1:18" x14ac:dyDescent="0.35">
      <c r="A122" s="11" t="s">
        <v>82</v>
      </c>
      <c r="B122" s="11" t="s">
        <v>612</v>
      </c>
      <c r="C122" s="11" t="s">
        <v>613</v>
      </c>
      <c r="D122" s="11" t="s">
        <v>100</v>
      </c>
      <c r="E122" s="11" t="s">
        <v>101</v>
      </c>
      <c r="F122" s="11" t="s">
        <v>108</v>
      </c>
      <c r="G122" s="11" t="s">
        <v>109</v>
      </c>
      <c r="I122" t="s">
        <v>613</v>
      </c>
      <c r="K122" t="s">
        <v>109</v>
      </c>
      <c r="L122" t="s">
        <v>100</v>
      </c>
      <c r="M122" t="s">
        <v>101</v>
      </c>
      <c r="N122" t="s">
        <v>2459</v>
      </c>
      <c r="O122" t="s">
        <v>2459</v>
      </c>
      <c r="Q122">
        <f t="shared" si="2"/>
        <v>1</v>
      </c>
      <c r="R122">
        <f t="shared" si="3"/>
        <v>1</v>
      </c>
    </row>
    <row r="123" spans="1:18" x14ac:dyDescent="0.35">
      <c r="A123" s="11" t="s">
        <v>82</v>
      </c>
      <c r="B123" s="11" t="s">
        <v>614</v>
      </c>
      <c r="C123" s="11" t="s">
        <v>615</v>
      </c>
      <c r="D123" s="11" t="s">
        <v>100</v>
      </c>
      <c r="E123" s="11" t="s">
        <v>101</v>
      </c>
      <c r="F123" s="11" t="s">
        <v>108</v>
      </c>
      <c r="G123" s="11" t="s">
        <v>109</v>
      </c>
      <c r="I123" t="s">
        <v>615</v>
      </c>
      <c r="K123" t="s">
        <v>109</v>
      </c>
      <c r="L123" t="s">
        <v>100</v>
      </c>
      <c r="M123" t="s">
        <v>101</v>
      </c>
      <c r="N123" t="s">
        <v>2459</v>
      </c>
      <c r="O123" t="s">
        <v>2459</v>
      </c>
      <c r="Q123">
        <f t="shared" si="2"/>
        <v>1</v>
      </c>
      <c r="R123">
        <f t="shared" si="3"/>
        <v>1</v>
      </c>
    </row>
    <row r="124" spans="1:18" x14ac:dyDescent="0.35">
      <c r="A124" s="11" t="s">
        <v>82</v>
      </c>
      <c r="B124" s="11" t="s">
        <v>616</v>
      </c>
      <c r="C124" s="11" t="s">
        <v>617</v>
      </c>
      <c r="D124" s="11" t="s">
        <v>100</v>
      </c>
      <c r="E124" s="11" t="s">
        <v>101</v>
      </c>
      <c r="F124" s="11" t="s">
        <v>108</v>
      </c>
      <c r="G124" s="11" t="s">
        <v>109</v>
      </c>
      <c r="I124" t="s">
        <v>617</v>
      </c>
      <c r="K124" t="s">
        <v>109</v>
      </c>
      <c r="L124" t="s">
        <v>100</v>
      </c>
      <c r="M124" t="s">
        <v>101</v>
      </c>
      <c r="N124" t="s">
        <v>2459</v>
      </c>
      <c r="O124" t="s">
        <v>2459</v>
      </c>
      <c r="Q124">
        <f t="shared" si="2"/>
        <v>1</v>
      </c>
      <c r="R124">
        <f t="shared" si="3"/>
        <v>1</v>
      </c>
    </row>
    <row r="125" spans="1:18" x14ac:dyDescent="0.35">
      <c r="A125" s="11" t="s">
        <v>82</v>
      </c>
      <c r="B125" s="11" t="s">
        <v>618</v>
      </c>
      <c r="C125" s="11" t="s">
        <v>619</v>
      </c>
      <c r="D125" s="11" t="s">
        <v>100</v>
      </c>
      <c r="E125" s="11" t="s">
        <v>101</v>
      </c>
      <c r="F125" s="11" t="s">
        <v>108</v>
      </c>
      <c r="G125" s="11" t="s">
        <v>109</v>
      </c>
      <c r="I125" t="s">
        <v>619</v>
      </c>
      <c r="K125" t="s">
        <v>109</v>
      </c>
      <c r="L125" t="s">
        <v>100</v>
      </c>
      <c r="M125" t="s">
        <v>101</v>
      </c>
      <c r="N125" t="s">
        <v>2459</v>
      </c>
      <c r="O125" t="s">
        <v>2459</v>
      </c>
      <c r="Q125">
        <f t="shared" si="2"/>
        <v>1</v>
      </c>
      <c r="R125">
        <f t="shared" si="3"/>
        <v>1</v>
      </c>
    </row>
    <row r="126" spans="1:18" x14ac:dyDescent="0.35">
      <c r="A126" s="11" t="s">
        <v>82</v>
      </c>
      <c r="B126" s="11" t="s">
        <v>620</v>
      </c>
      <c r="C126" s="11" t="s">
        <v>621</v>
      </c>
      <c r="D126" s="11" t="s">
        <v>111</v>
      </c>
      <c r="E126" s="11" t="s">
        <v>112</v>
      </c>
      <c r="F126" s="11" t="s">
        <v>113</v>
      </c>
      <c r="G126" s="11" t="s">
        <v>114</v>
      </c>
      <c r="I126" t="s">
        <v>621</v>
      </c>
      <c r="K126" t="s">
        <v>114</v>
      </c>
      <c r="L126" t="s">
        <v>111</v>
      </c>
      <c r="M126" t="s">
        <v>112</v>
      </c>
      <c r="N126" t="s">
        <v>2459</v>
      </c>
      <c r="O126" t="s">
        <v>2459</v>
      </c>
      <c r="Q126">
        <f t="shared" si="2"/>
        <v>1</v>
      </c>
      <c r="R126">
        <f t="shared" si="3"/>
        <v>1</v>
      </c>
    </row>
    <row r="127" spans="1:18" x14ac:dyDescent="0.35">
      <c r="A127" s="11" t="s">
        <v>82</v>
      </c>
      <c r="B127" s="11" t="s">
        <v>622</v>
      </c>
      <c r="C127" s="11" t="s">
        <v>623</v>
      </c>
      <c r="D127" s="11" t="s">
        <v>111</v>
      </c>
      <c r="E127" s="11" t="s">
        <v>112</v>
      </c>
      <c r="F127" s="11" t="s">
        <v>113</v>
      </c>
      <c r="G127" s="11" t="s">
        <v>114</v>
      </c>
      <c r="I127" t="s">
        <v>623</v>
      </c>
      <c r="K127" t="s">
        <v>114</v>
      </c>
      <c r="L127" t="s">
        <v>111</v>
      </c>
      <c r="M127" t="s">
        <v>112</v>
      </c>
      <c r="N127" t="s">
        <v>2459</v>
      </c>
      <c r="O127" t="s">
        <v>2459</v>
      </c>
      <c r="Q127">
        <f t="shared" si="2"/>
        <v>1</v>
      </c>
      <c r="R127">
        <f t="shared" si="3"/>
        <v>1</v>
      </c>
    </row>
    <row r="128" spans="1:18" x14ac:dyDescent="0.35">
      <c r="A128" s="11" t="s">
        <v>82</v>
      </c>
      <c r="B128" s="11" t="s">
        <v>624</v>
      </c>
      <c r="C128" s="11" t="s">
        <v>114</v>
      </c>
      <c r="D128" s="11" t="s">
        <v>111</v>
      </c>
      <c r="E128" s="11" t="s">
        <v>112</v>
      </c>
      <c r="F128" s="11" t="s">
        <v>113</v>
      </c>
      <c r="G128" s="11" t="s">
        <v>114</v>
      </c>
      <c r="I128" t="s">
        <v>114</v>
      </c>
      <c r="K128" t="s">
        <v>114</v>
      </c>
      <c r="L128" t="s">
        <v>111</v>
      </c>
      <c r="M128" t="s">
        <v>112</v>
      </c>
      <c r="N128" t="s">
        <v>2459</v>
      </c>
      <c r="O128" t="s">
        <v>2459</v>
      </c>
      <c r="Q128">
        <f t="shared" si="2"/>
        <v>1</v>
      </c>
      <c r="R128">
        <f t="shared" si="3"/>
        <v>1</v>
      </c>
    </row>
    <row r="129" spans="1:18" x14ac:dyDescent="0.35">
      <c r="A129" s="11" t="s">
        <v>82</v>
      </c>
      <c r="B129" s="11" t="s">
        <v>625</v>
      </c>
      <c r="C129" s="11" t="s">
        <v>626</v>
      </c>
      <c r="D129" s="11" t="s">
        <v>111</v>
      </c>
      <c r="E129" s="11" t="s">
        <v>112</v>
      </c>
      <c r="F129" s="11" t="s">
        <v>113</v>
      </c>
      <c r="G129" s="11" t="s">
        <v>114</v>
      </c>
      <c r="I129" t="s">
        <v>626</v>
      </c>
      <c r="K129" t="s">
        <v>114</v>
      </c>
      <c r="L129" t="s">
        <v>111</v>
      </c>
      <c r="M129" t="s">
        <v>112</v>
      </c>
      <c r="N129" t="s">
        <v>2459</v>
      </c>
      <c r="O129" t="s">
        <v>2459</v>
      </c>
      <c r="Q129">
        <f t="shared" si="2"/>
        <v>1</v>
      </c>
      <c r="R129">
        <f t="shared" si="3"/>
        <v>1</v>
      </c>
    </row>
    <row r="130" spans="1:18" x14ac:dyDescent="0.35">
      <c r="A130" s="11" t="s">
        <v>82</v>
      </c>
      <c r="B130" s="11" t="s">
        <v>627</v>
      </c>
      <c r="C130" s="11" t="s">
        <v>628</v>
      </c>
      <c r="D130" s="11" t="s">
        <v>111</v>
      </c>
      <c r="E130" s="11" t="s">
        <v>112</v>
      </c>
      <c r="F130" s="11" t="s">
        <v>113</v>
      </c>
      <c r="G130" s="11" t="s">
        <v>114</v>
      </c>
      <c r="I130" t="s">
        <v>628</v>
      </c>
      <c r="K130" t="s">
        <v>114</v>
      </c>
      <c r="L130" t="s">
        <v>111</v>
      </c>
      <c r="M130" t="s">
        <v>112</v>
      </c>
      <c r="N130" t="s">
        <v>2459</v>
      </c>
      <c r="O130" t="s">
        <v>2459</v>
      </c>
      <c r="Q130">
        <f t="shared" si="2"/>
        <v>1</v>
      </c>
      <c r="R130">
        <f t="shared" si="3"/>
        <v>1</v>
      </c>
    </row>
    <row r="131" spans="1:18" x14ac:dyDescent="0.35">
      <c r="A131" s="11" t="s">
        <v>82</v>
      </c>
      <c r="B131" s="11" t="s">
        <v>629</v>
      </c>
      <c r="C131" s="11" t="s">
        <v>630</v>
      </c>
      <c r="D131" s="11" t="s">
        <v>111</v>
      </c>
      <c r="E131" s="11" t="s">
        <v>112</v>
      </c>
      <c r="F131" s="11" t="s">
        <v>113</v>
      </c>
      <c r="G131" s="11" t="s">
        <v>114</v>
      </c>
      <c r="I131" t="s">
        <v>630</v>
      </c>
      <c r="K131" t="s">
        <v>114</v>
      </c>
      <c r="L131" t="s">
        <v>111</v>
      </c>
      <c r="M131" t="s">
        <v>112</v>
      </c>
      <c r="N131" t="s">
        <v>2459</v>
      </c>
      <c r="O131" t="s">
        <v>2459</v>
      </c>
      <c r="Q131">
        <f t="shared" si="2"/>
        <v>1</v>
      </c>
      <c r="R131">
        <f t="shared" si="3"/>
        <v>1</v>
      </c>
    </row>
    <row r="132" spans="1:18" x14ac:dyDescent="0.35">
      <c r="A132" s="11" t="s">
        <v>82</v>
      </c>
      <c r="B132" s="11" t="s">
        <v>631</v>
      </c>
      <c r="C132" s="11" t="s">
        <v>632</v>
      </c>
      <c r="D132" s="11" t="s">
        <v>111</v>
      </c>
      <c r="E132" s="11" t="s">
        <v>112</v>
      </c>
      <c r="F132" s="11" t="s">
        <v>113</v>
      </c>
      <c r="G132" s="11" t="s">
        <v>114</v>
      </c>
      <c r="I132" t="s">
        <v>632</v>
      </c>
      <c r="K132" t="s">
        <v>114</v>
      </c>
      <c r="L132" t="s">
        <v>111</v>
      </c>
      <c r="M132" t="s">
        <v>112</v>
      </c>
      <c r="N132" t="s">
        <v>2459</v>
      </c>
      <c r="O132" t="s">
        <v>2459</v>
      </c>
      <c r="Q132">
        <f t="shared" ref="Q132:Q194" si="4">MATCH(G132,K132,0)</f>
        <v>1</v>
      </c>
      <c r="R132">
        <f t="shared" ref="R132:R194" si="5">MATCH(E132,M132,0)</f>
        <v>1</v>
      </c>
    </row>
    <row r="133" spans="1:18" x14ac:dyDescent="0.35">
      <c r="A133" s="11" t="s">
        <v>82</v>
      </c>
      <c r="B133" s="11" t="s">
        <v>633</v>
      </c>
      <c r="C133" s="11" t="s">
        <v>634</v>
      </c>
      <c r="D133" s="11" t="s">
        <v>111</v>
      </c>
      <c r="E133" s="11" t="s">
        <v>112</v>
      </c>
      <c r="F133" s="11" t="s">
        <v>113</v>
      </c>
      <c r="G133" s="11" t="s">
        <v>114</v>
      </c>
      <c r="I133" t="s">
        <v>634</v>
      </c>
      <c r="K133" t="s">
        <v>114</v>
      </c>
      <c r="L133" t="s">
        <v>111</v>
      </c>
      <c r="M133" t="s">
        <v>112</v>
      </c>
      <c r="N133" t="s">
        <v>2459</v>
      </c>
      <c r="O133" t="s">
        <v>2459</v>
      </c>
      <c r="Q133">
        <f t="shared" si="4"/>
        <v>1</v>
      </c>
      <c r="R133">
        <f t="shared" si="5"/>
        <v>1</v>
      </c>
    </row>
    <row r="134" spans="1:18" x14ac:dyDescent="0.35">
      <c r="A134" s="11" t="s">
        <v>82</v>
      </c>
      <c r="B134" s="11" t="s">
        <v>635</v>
      </c>
      <c r="C134" s="11" t="s">
        <v>636</v>
      </c>
      <c r="D134" s="11" t="s">
        <v>111</v>
      </c>
      <c r="E134" s="11" t="s">
        <v>112</v>
      </c>
      <c r="F134" s="11" t="s">
        <v>113</v>
      </c>
      <c r="G134" s="11" t="s">
        <v>114</v>
      </c>
      <c r="I134" t="s">
        <v>636</v>
      </c>
      <c r="K134" t="s">
        <v>114</v>
      </c>
      <c r="L134" t="s">
        <v>111</v>
      </c>
      <c r="M134" t="s">
        <v>112</v>
      </c>
      <c r="N134" t="s">
        <v>2459</v>
      </c>
      <c r="O134" t="s">
        <v>2459</v>
      </c>
      <c r="Q134">
        <f t="shared" si="4"/>
        <v>1</v>
      </c>
      <c r="R134">
        <f t="shared" si="5"/>
        <v>1</v>
      </c>
    </row>
    <row r="135" spans="1:18" x14ac:dyDescent="0.35">
      <c r="A135" s="11" t="s">
        <v>82</v>
      </c>
      <c r="B135" s="11" t="s">
        <v>637</v>
      </c>
      <c r="C135" s="11" t="s">
        <v>638</v>
      </c>
      <c r="D135" s="11" t="s">
        <v>111</v>
      </c>
      <c r="E135" s="11" t="s">
        <v>112</v>
      </c>
      <c r="F135" s="11" t="s">
        <v>113</v>
      </c>
      <c r="G135" s="11" t="s">
        <v>114</v>
      </c>
      <c r="I135" t="s">
        <v>638</v>
      </c>
      <c r="K135" t="s">
        <v>114</v>
      </c>
      <c r="L135" t="s">
        <v>111</v>
      </c>
      <c r="M135" t="s">
        <v>112</v>
      </c>
      <c r="N135" t="s">
        <v>2459</v>
      </c>
      <c r="O135" t="s">
        <v>2459</v>
      </c>
      <c r="Q135">
        <f t="shared" si="4"/>
        <v>1</v>
      </c>
      <c r="R135">
        <f t="shared" si="5"/>
        <v>1</v>
      </c>
    </row>
    <row r="136" spans="1:18" x14ac:dyDescent="0.35">
      <c r="A136" s="11" t="s">
        <v>82</v>
      </c>
      <c r="B136" s="11" t="s">
        <v>639</v>
      </c>
      <c r="C136" s="11" t="s">
        <v>640</v>
      </c>
      <c r="D136" s="11" t="s">
        <v>111</v>
      </c>
      <c r="E136" s="11" t="s">
        <v>112</v>
      </c>
      <c r="F136" s="11" t="s">
        <v>113</v>
      </c>
      <c r="G136" s="11" t="s">
        <v>114</v>
      </c>
      <c r="I136" t="s">
        <v>640</v>
      </c>
      <c r="K136" t="s">
        <v>114</v>
      </c>
      <c r="L136" t="s">
        <v>111</v>
      </c>
      <c r="M136" t="s">
        <v>112</v>
      </c>
      <c r="N136" t="s">
        <v>2459</v>
      </c>
      <c r="O136" t="s">
        <v>2459</v>
      </c>
      <c r="Q136">
        <f t="shared" si="4"/>
        <v>1</v>
      </c>
      <c r="R136">
        <f t="shared" si="5"/>
        <v>1</v>
      </c>
    </row>
    <row r="137" spans="1:18" x14ac:dyDescent="0.35">
      <c r="A137" s="11" t="s">
        <v>82</v>
      </c>
      <c r="B137" s="11" t="s">
        <v>641</v>
      </c>
      <c r="C137" s="11" t="s">
        <v>642</v>
      </c>
      <c r="D137" s="11" t="s">
        <v>111</v>
      </c>
      <c r="E137" s="11" t="s">
        <v>112</v>
      </c>
      <c r="F137" s="11" t="s">
        <v>113</v>
      </c>
      <c r="G137" s="11" t="s">
        <v>114</v>
      </c>
      <c r="I137" t="s">
        <v>642</v>
      </c>
      <c r="K137" t="s">
        <v>114</v>
      </c>
      <c r="L137" t="s">
        <v>111</v>
      </c>
      <c r="M137" t="s">
        <v>112</v>
      </c>
      <c r="N137" t="s">
        <v>2459</v>
      </c>
      <c r="O137" t="s">
        <v>2459</v>
      </c>
      <c r="Q137">
        <f t="shared" si="4"/>
        <v>1</v>
      </c>
      <c r="R137">
        <f t="shared" si="5"/>
        <v>1</v>
      </c>
    </row>
    <row r="138" spans="1:18" x14ac:dyDescent="0.35">
      <c r="A138" s="11" t="s">
        <v>82</v>
      </c>
      <c r="B138" s="11" t="s">
        <v>643</v>
      </c>
      <c r="C138" s="11" t="s">
        <v>644</v>
      </c>
      <c r="D138" s="11" t="s">
        <v>111</v>
      </c>
      <c r="E138" s="11" t="s">
        <v>112</v>
      </c>
      <c r="F138" s="11" t="s">
        <v>113</v>
      </c>
      <c r="G138" s="11" t="s">
        <v>114</v>
      </c>
      <c r="I138" t="s">
        <v>644</v>
      </c>
      <c r="K138" t="s">
        <v>114</v>
      </c>
      <c r="L138" t="s">
        <v>111</v>
      </c>
      <c r="M138" t="s">
        <v>112</v>
      </c>
      <c r="N138" t="s">
        <v>2459</v>
      </c>
      <c r="O138" t="s">
        <v>2459</v>
      </c>
      <c r="Q138">
        <f t="shared" si="4"/>
        <v>1</v>
      </c>
      <c r="R138">
        <f t="shared" si="5"/>
        <v>1</v>
      </c>
    </row>
    <row r="139" spans="1:18" x14ac:dyDescent="0.35">
      <c r="A139" s="11" t="s">
        <v>82</v>
      </c>
      <c r="B139" s="11" t="s">
        <v>645</v>
      </c>
      <c r="C139" s="11" t="s">
        <v>117</v>
      </c>
      <c r="D139" s="11" t="s">
        <v>111</v>
      </c>
      <c r="E139" s="11" t="s">
        <v>112</v>
      </c>
      <c r="F139" s="11" t="s">
        <v>116</v>
      </c>
      <c r="G139" s="11" t="s">
        <v>117</v>
      </c>
      <c r="I139" t="s">
        <v>117</v>
      </c>
      <c r="K139" t="s">
        <v>117</v>
      </c>
      <c r="L139" t="s">
        <v>111</v>
      </c>
      <c r="M139" t="s">
        <v>112</v>
      </c>
      <c r="N139" t="s">
        <v>2459</v>
      </c>
      <c r="O139" t="s">
        <v>2459</v>
      </c>
      <c r="Q139">
        <f t="shared" si="4"/>
        <v>1</v>
      </c>
      <c r="R139">
        <f t="shared" si="5"/>
        <v>1</v>
      </c>
    </row>
    <row r="140" spans="1:18" x14ac:dyDescent="0.35">
      <c r="A140" s="11" t="s">
        <v>82</v>
      </c>
      <c r="B140" s="11" t="s">
        <v>646</v>
      </c>
      <c r="C140" s="11" t="s">
        <v>647</v>
      </c>
      <c r="D140" s="11" t="s">
        <v>111</v>
      </c>
      <c r="E140" s="11" t="s">
        <v>112</v>
      </c>
      <c r="F140" s="11" t="s">
        <v>116</v>
      </c>
      <c r="G140" s="11" t="s">
        <v>117</v>
      </c>
      <c r="I140" t="s">
        <v>647</v>
      </c>
      <c r="K140" t="s">
        <v>117</v>
      </c>
      <c r="L140" t="s">
        <v>111</v>
      </c>
      <c r="M140" t="s">
        <v>112</v>
      </c>
      <c r="N140" t="s">
        <v>2459</v>
      </c>
      <c r="O140" t="s">
        <v>2459</v>
      </c>
      <c r="Q140">
        <f t="shared" si="4"/>
        <v>1</v>
      </c>
      <c r="R140">
        <f t="shared" si="5"/>
        <v>1</v>
      </c>
    </row>
    <row r="141" spans="1:18" x14ac:dyDescent="0.35">
      <c r="A141" s="11" t="s">
        <v>82</v>
      </c>
      <c r="B141" s="11" t="s">
        <v>648</v>
      </c>
      <c r="C141" s="11" t="s">
        <v>649</v>
      </c>
      <c r="D141" s="11" t="s">
        <v>111</v>
      </c>
      <c r="E141" s="11" t="s">
        <v>112</v>
      </c>
      <c r="F141" s="11" t="s">
        <v>116</v>
      </c>
      <c r="G141" s="11" t="s">
        <v>117</v>
      </c>
      <c r="I141" t="s">
        <v>649</v>
      </c>
      <c r="K141" t="s">
        <v>117</v>
      </c>
      <c r="L141" t="s">
        <v>111</v>
      </c>
      <c r="M141" t="s">
        <v>112</v>
      </c>
      <c r="N141" t="s">
        <v>2459</v>
      </c>
      <c r="O141" t="s">
        <v>2459</v>
      </c>
      <c r="Q141">
        <f t="shared" si="4"/>
        <v>1</v>
      </c>
      <c r="R141">
        <f t="shared" si="5"/>
        <v>1</v>
      </c>
    </row>
    <row r="142" spans="1:18" x14ac:dyDescent="0.35">
      <c r="A142" s="11" t="s">
        <v>82</v>
      </c>
      <c r="B142" s="11" t="s">
        <v>650</v>
      </c>
      <c r="C142" s="11" t="s">
        <v>651</v>
      </c>
      <c r="D142" s="11" t="s">
        <v>111</v>
      </c>
      <c r="E142" s="11" t="s">
        <v>112</v>
      </c>
      <c r="F142" s="11" t="s">
        <v>116</v>
      </c>
      <c r="G142" s="11" t="s">
        <v>117</v>
      </c>
      <c r="I142" t="s">
        <v>651</v>
      </c>
      <c r="K142" t="s">
        <v>117</v>
      </c>
      <c r="L142" t="s">
        <v>111</v>
      </c>
      <c r="M142" t="s">
        <v>112</v>
      </c>
      <c r="N142" t="s">
        <v>2459</v>
      </c>
      <c r="O142" t="s">
        <v>2459</v>
      </c>
      <c r="Q142">
        <f t="shared" si="4"/>
        <v>1</v>
      </c>
      <c r="R142">
        <f t="shared" si="5"/>
        <v>1</v>
      </c>
    </row>
    <row r="143" spans="1:18" x14ac:dyDescent="0.35">
      <c r="A143" s="11" t="s">
        <v>82</v>
      </c>
      <c r="B143" s="11" t="s">
        <v>652</v>
      </c>
      <c r="C143" s="11" t="s">
        <v>653</v>
      </c>
      <c r="D143" s="11" t="s">
        <v>111</v>
      </c>
      <c r="E143" s="11" t="s">
        <v>112</v>
      </c>
      <c r="F143" s="11" t="s">
        <v>116</v>
      </c>
      <c r="G143" s="11" t="s">
        <v>117</v>
      </c>
      <c r="I143" t="s">
        <v>653</v>
      </c>
      <c r="K143" t="s">
        <v>117</v>
      </c>
      <c r="L143" t="s">
        <v>111</v>
      </c>
      <c r="M143" t="s">
        <v>112</v>
      </c>
      <c r="N143" t="s">
        <v>2459</v>
      </c>
      <c r="O143" t="s">
        <v>2459</v>
      </c>
      <c r="Q143">
        <f t="shared" si="4"/>
        <v>1</v>
      </c>
      <c r="R143">
        <f t="shared" si="5"/>
        <v>1</v>
      </c>
    </row>
    <row r="144" spans="1:18" x14ac:dyDescent="0.35">
      <c r="A144" s="11" t="s">
        <v>82</v>
      </c>
      <c r="B144" s="11" t="s">
        <v>654</v>
      </c>
      <c r="C144" s="11" t="s">
        <v>655</v>
      </c>
      <c r="D144" s="11" t="s">
        <v>111</v>
      </c>
      <c r="E144" s="11" t="s">
        <v>112</v>
      </c>
      <c r="F144" s="11" t="s">
        <v>116</v>
      </c>
      <c r="G144" s="11" t="s">
        <v>117</v>
      </c>
      <c r="I144" t="s">
        <v>655</v>
      </c>
      <c r="K144" t="s">
        <v>117</v>
      </c>
      <c r="L144" t="s">
        <v>111</v>
      </c>
      <c r="M144" t="s">
        <v>112</v>
      </c>
      <c r="N144" t="s">
        <v>2459</v>
      </c>
      <c r="O144" t="s">
        <v>2459</v>
      </c>
      <c r="Q144">
        <f t="shared" si="4"/>
        <v>1</v>
      </c>
      <c r="R144">
        <f t="shared" si="5"/>
        <v>1</v>
      </c>
    </row>
    <row r="145" spans="1:18" x14ac:dyDescent="0.35">
      <c r="A145" s="11" t="s">
        <v>82</v>
      </c>
      <c r="B145" s="11" t="s">
        <v>656</v>
      </c>
      <c r="C145" s="11" t="s">
        <v>657</v>
      </c>
      <c r="D145" s="11" t="s">
        <v>111</v>
      </c>
      <c r="E145" s="11" t="s">
        <v>112</v>
      </c>
      <c r="F145" s="11" t="s">
        <v>116</v>
      </c>
      <c r="G145" s="11" t="s">
        <v>117</v>
      </c>
      <c r="I145" t="s">
        <v>657</v>
      </c>
      <c r="K145" t="s">
        <v>117</v>
      </c>
      <c r="L145" t="s">
        <v>111</v>
      </c>
      <c r="M145" t="s">
        <v>112</v>
      </c>
      <c r="N145" t="s">
        <v>2459</v>
      </c>
      <c r="O145" t="s">
        <v>2459</v>
      </c>
      <c r="Q145">
        <f t="shared" si="4"/>
        <v>1</v>
      </c>
      <c r="R145">
        <f t="shared" si="5"/>
        <v>1</v>
      </c>
    </row>
    <row r="146" spans="1:18" x14ac:dyDescent="0.35">
      <c r="A146" s="11" t="s">
        <v>82</v>
      </c>
      <c r="B146" s="11" t="s">
        <v>658</v>
      </c>
      <c r="C146" s="11" t="s">
        <v>659</v>
      </c>
      <c r="D146" s="11" t="s">
        <v>111</v>
      </c>
      <c r="E146" s="11" t="s">
        <v>112</v>
      </c>
      <c r="F146" s="11" t="s">
        <v>119</v>
      </c>
      <c r="G146" s="11" t="s">
        <v>120</v>
      </c>
      <c r="I146" t="s">
        <v>659</v>
      </c>
      <c r="K146" t="s">
        <v>120</v>
      </c>
      <c r="L146" t="s">
        <v>111</v>
      </c>
      <c r="M146" t="s">
        <v>112</v>
      </c>
      <c r="N146" t="s">
        <v>2459</v>
      </c>
      <c r="O146" t="s">
        <v>2459</v>
      </c>
      <c r="Q146">
        <f t="shared" si="4"/>
        <v>1</v>
      </c>
      <c r="R146">
        <f t="shared" si="5"/>
        <v>1</v>
      </c>
    </row>
    <row r="147" spans="1:18" x14ac:dyDescent="0.35">
      <c r="A147" s="11" t="s">
        <v>82</v>
      </c>
      <c r="B147" s="11" t="s">
        <v>660</v>
      </c>
      <c r="C147" s="11" t="s">
        <v>120</v>
      </c>
      <c r="D147" s="11" t="s">
        <v>111</v>
      </c>
      <c r="E147" s="11" t="s">
        <v>112</v>
      </c>
      <c r="F147" s="11" t="s">
        <v>119</v>
      </c>
      <c r="G147" s="11" t="s">
        <v>120</v>
      </c>
      <c r="I147" t="s">
        <v>120</v>
      </c>
      <c r="K147" t="s">
        <v>120</v>
      </c>
      <c r="L147" t="s">
        <v>111</v>
      </c>
      <c r="M147" t="s">
        <v>112</v>
      </c>
      <c r="N147" t="s">
        <v>2459</v>
      </c>
      <c r="O147" t="s">
        <v>2459</v>
      </c>
      <c r="Q147">
        <f t="shared" si="4"/>
        <v>1</v>
      </c>
      <c r="R147">
        <f t="shared" si="5"/>
        <v>1</v>
      </c>
    </row>
    <row r="148" spans="1:18" x14ac:dyDescent="0.35">
      <c r="A148" s="11" t="s">
        <v>82</v>
      </c>
      <c r="B148" s="11" t="s">
        <v>661</v>
      </c>
      <c r="C148" s="11" t="s">
        <v>662</v>
      </c>
      <c r="D148" s="11" t="s">
        <v>111</v>
      </c>
      <c r="E148" s="11" t="s">
        <v>112</v>
      </c>
      <c r="F148" s="11" t="s">
        <v>119</v>
      </c>
      <c r="G148" s="11" t="s">
        <v>120</v>
      </c>
      <c r="I148" t="s">
        <v>662</v>
      </c>
      <c r="K148" t="s">
        <v>120</v>
      </c>
      <c r="L148" t="s">
        <v>111</v>
      </c>
      <c r="M148" t="s">
        <v>112</v>
      </c>
      <c r="N148" t="s">
        <v>2459</v>
      </c>
      <c r="O148" t="s">
        <v>2459</v>
      </c>
      <c r="Q148">
        <f t="shared" si="4"/>
        <v>1</v>
      </c>
      <c r="R148">
        <f t="shared" si="5"/>
        <v>1</v>
      </c>
    </row>
    <row r="149" spans="1:18" x14ac:dyDescent="0.35">
      <c r="A149" s="11" t="s">
        <v>82</v>
      </c>
      <c r="B149" s="11" t="s">
        <v>663</v>
      </c>
      <c r="C149" s="11" t="s">
        <v>664</v>
      </c>
      <c r="D149" s="11" t="s">
        <v>111</v>
      </c>
      <c r="E149" s="11" t="s">
        <v>112</v>
      </c>
      <c r="F149" s="11" t="s">
        <v>119</v>
      </c>
      <c r="G149" s="11" t="s">
        <v>120</v>
      </c>
      <c r="I149" t="s">
        <v>664</v>
      </c>
      <c r="K149" t="s">
        <v>120</v>
      </c>
      <c r="L149" t="s">
        <v>111</v>
      </c>
      <c r="M149" t="s">
        <v>112</v>
      </c>
      <c r="N149" t="s">
        <v>2459</v>
      </c>
      <c r="O149" t="s">
        <v>2459</v>
      </c>
      <c r="Q149">
        <f t="shared" si="4"/>
        <v>1</v>
      </c>
      <c r="R149">
        <f t="shared" si="5"/>
        <v>1</v>
      </c>
    </row>
    <row r="150" spans="1:18" x14ac:dyDescent="0.35">
      <c r="A150" s="11" t="s">
        <v>82</v>
      </c>
      <c r="B150" s="11" t="s">
        <v>665</v>
      </c>
      <c r="C150" s="11" t="s">
        <v>666</v>
      </c>
      <c r="D150" s="11" t="s">
        <v>111</v>
      </c>
      <c r="E150" s="11" t="s">
        <v>112</v>
      </c>
      <c r="F150" s="11" t="s">
        <v>119</v>
      </c>
      <c r="G150" s="11" t="s">
        <v>120</v>
      </c>
      <c r="I150" t="s">
        <v>666</v>
      </c>
      <c r="K150" t="s">
        <v>120</v>
      </c>
      <c r="L150" t="s">
        <v>111</v>
      </c>
      <c r="M150" t="s">
        <v>112</v>
      </c>
      <c r="N150" t="s">
        <v>2459</v>
      </c>
      <c r="O150" t="s">
        <v>2459</v>
      </c>
      <c r="Q150">
        <f t="shared" si="4"/>
        <v>1</v>
      </c>
      <c r="R150">
        <f t="shared" si="5"/>
        <v>1</v>
      </c>
    </row>
    <row r="151" spans="1:18" x14ac:dyDescent="0.35">
      <c r="A151" s="11" t="s">
        <v>82</v>
      </c>
      <c r="B151" s="11" t="s">
        <v>667</v>
      </c>
      <c r="C151" s="11" t="s">
        <v>668</v>
      </c>
      <c r="D151" s="11" t="s">
        <v>111</v>
      </c>
      <c r="E151" s="11" t="s">
        <v>112</v>
      </c>
      <c r="F151" s="11" t="s">
        <v>119</v>
      </c>
      <c r="G151" s="11" t="s">
        <v>120</v>
      </c>
      <c r="I151" t="s">
        <v>668</v>
      </c>
      <c r="K151" t="s">
        <v>120</v>
      </c>
      <c r="L151" t="s">
        <v>111</v>
      </c>
      <c r="M151" t="s">
        <v>112</v>
      </c>
      <c r="N151" t="s">
        <v>2459</v>
      </c>
      <c r="O151" t="s">
        <v>2459</v>
      </c>
      <c r="Q151">
        <f t="shared" si="4"/>
        <v>1</v>
      </c>
      <c r="R151">
        <f t="shared" si="5"/>
        <v>1</v>
      </c>
    </row>
    <row r="152" spans="1:18" x14ac:dyDescent="0.35">
      <c r="A152" s="11" t="s">
        <v>82</v>
      </c>
      <c r="B152" s="11" t="s">
        <v>669</v>
      </c>
      <c r="C152" s="11" t="s">
        <v>670</v>
      </c>
      <c r="D152" s="11" t="s">
        <v>111</v>
      </c>
      <c r="E152" s="11" t="s">
        <v>112</v>
      </c>
      <c r="F152" s="11" t="s">
        <v>119</v>
      </c>
      <c r="G152" s="11" t="s">
        <v>120</v>
      </c>
      <c r="I152" t="s">
        <v>670</v>
      </c>
      <c r="K152" t="s">
        <v>120</v>
      </c>
      <c r="L152" t="s">
        <v>111</v>
      </c>
      <c r="M152" t="s">
        <v>112</v>
      </c>
      <c r="N152" t="s">
        <v>2459</v>
      </c>
      <c r="O152" t="s">
        <v>2459</v>
      </c>
      <c r="Q152">
        <f t="shared" si="4"/>
        <v>1</v>
      </c>
      <c r="R152">
        <f t="shared" si="5"/>
        <v>1</v>
      </c>
    </row>
    <row r="153" spans="1:18" x14ac:dyDescent="0.35">
      <c r="A153" s="11" t="s">
        <v>82</v>
      </c>
      <c r="B153" s="11" t="s">
        <v>671</v>
      </c>
      <c r="C153" s="11" t="s">
        <v>672</v>
      </c>
      <c r="D153" s="11" t="s">
        <v>111</v>
      </c>
      <c r="E153" s="11" t="s">
        <v>112</v>
      </c>
      <c r="F153" s="11" t="s">
        <v>119</v>
      </c>
      <c r="G153" s="11" t="s">
        <v>120</v>
      </c>
      <c r="I153" t="s">
        <v>672</v>
      </c>
      <c r="K153" t="s">
        <v>120</v>
      </c>
      <c r="L153" t="s">
        <v>111</v>
      </c>
      <c r="M153" t="s">
        <v>112</v>
      </c>
      <c r="N153" t="s">
        <v>2459</v>
      </c>
      <c r="O153" t="s">
        <v>2459</v>
      </c>
      <c r="Q153">
        <f t="shared" si="4"/>
        <v>1</v>
      </c>
      <c r="R153">
        <f t="shared" si="5"/>
        <v>1</v>
      </c>
    </row>
    <row r="154" spans="1:18" x14ac:dyDescent="0.35">
      <c r="A154" s="11" t="s">
        <v>82</v>
      </c>
      <c r="B154" s="11" t="s">
        <v>673</v>
      </c>
      <c r="C154" s="11" t="s">
        <v>674</v>
      </c>
      <c r="D154" s="11" t="s">
        <v>111</v>
      </c>
      <c r="E154" s="11" t="s">
        <v>112</v>
      </c>
      <c r="F154" s="11" t="s">
        <v>119</v>
      </c>
      <c r="G154" s="11" t="s">
        <v>120</v>
      </c>
      <c r="I154" t="s">
        <v>674</v>
      </c>
      <c r="K154" t="s">
        <v>120</v>
      </c>
      <c r="L154" t="s">
        <v>111</v>
      </c>
      <c r="M154" t="s">
        <v>112</v>
      </c>
      <c r="N154" t="s">
        <v>2459</v>
      </c>
      <c r="O154" t="s">
        <v>2459</v>
      </c>
      <c r="Q154">
        <f t="shared" si="4"/>
        <v>1</v>
      </c>
      <c r="R154">
        <f t="shared" si="5"/>
        <v>1</v>
      </c>
    </row>
    <row r="155" spans="1:18" x14ac:dyDescent="0.35">
      <c r="A155" s="11" t="s">
        <v>82</v>
      </c>
      <c r="B155" s="11" t="s">
        <v>675</v>
      </c>
      <c r="C155" s="11" t="s">
        <v>676</v>
      </c>
      <c r="D155" s="11" t="s">
        <v>111</v>
      </c>
      <c r="E155" s="11" t="s">
        <v>112</v>
      </c>
      <c r="F155" s="11" t="s">
        <v>119</v>
      </c>
      <c r="G155" s="11" t="s">
        <v>120</v>
      </c>
      <c r="I155" t="s">
        <v>676</v>
      </c>
      <c r="K155" t="s">
        <v>120</v>
      </c>
      <c r="L155" t="s">
        <v>111</v>
      </c>
      <c r="M155" t="s">
        <v>112</v>
      </c>
      <c r="N155" t="s">
        <v>2459</v>
      </c>
      <c r="O155" t="s">
        <v>2459</v>
      </c>
      <c r="Q155">
        <f t="shared" si="4"/>
        <v>1</v>
      </c>
      <c r="R155">
        <f t="shared" si="5"/>
        <v>1</v>
      </c>
    </row>
    <row r="156" spans="1:18" x14ac:dyDescent="0.35">
      <c r="A156" s="11" t="s">
        <v>82</v>
      </c>
      <c r="B156" s="11" t="s">
        <v>677</v>
      </c>
      <c r="C156" s="11" t="s">
        <v>678</v>
      </c>
      <c r="D156" s="11" t="s">
        <v>111</v>
      </c>
      <c r="E156" s="11" t="s">
        <v>112</v>
      </c>
      <c r="F156" s="11" t="s">
        <v>119</v>
      </c>
      <c r="G156" s="11" t="s">
        <v>120</v>
      </c>
      <c r="I156" t="s">
        <v>678</v>
      </c>
      <c r="K156" t="s">
        <v>120</v>
      </c>
      <c r="L156" t="s">
        <v>111</v>
      </c>
      <c r="M156" t="s">
        <v>112</v>
      </c>
      <c r="N156" t="s">
        <v>2459</v>
      </c>
      <c r="O156" t="s">
        <v>2459</v>
      </c>
      <c r="Q156">
        <f t="shared" si="4"/>
        <v>1</v>
      </c>
      <c r="R156">
        <f t="shared" si="5"/>
        <v>1</v>
      </c>
    </row>
    <row r="157" spans="1:18" x14ac:dyDescent="0.35">
      <c r="A157" s="11" t="s">
        <v>82</v>
      </c>
      <c r="B157" s="11" t="s">
        <v>679</v>
      </c>
      <c r="C157" s="11" t="s">
        <v>123</v>
      </c>
      <c r="D157" s="11" t="s">
        <v>122</v>
      </c>
      <c r="E157" s="11" t="s">
        <v>123</v>
      </c>
      <c r="F157" s="11" t="s">
        <v>124</v>
      </c>
      <c r="G157" s="11" t="s">
        <v>125</v>
      </c>
      <c r="I157" t="s">
        <v>123</v>
      </c>
      <c r="K157" t="s">
        <v>125</v>
      </c>
      <c r="L157" t="s">
        <v>122</v>
      </c>
      <c r="M157" t="s">
        <v>123</v>
      </c>
      <c r="N157" t="s">
        <v>2459</v>
      </c>
      <c r="O157" t="s">
        <v>2459</v>
      </c>
      <c r="Q157">
        <f t="shared" si="4"/>
        <v>1</v>
      </c>
      <c r="R157">
        <f t="shared" si="5"/>
        <v>1</v>
      </c>
    </row>
    <row r="158" spans="1:18" x14ac:dyDescent="0.35">
      <c r="A158" s="11"/>
      <c r="B158" s="11"/>
      <c r="C158" s="11"/>
      <c r="D158" s="11"/>
      <c r="E158" s="11"/>
      <c r="F158" s="11"/>
      <c r="G158" s="11"/>
      <c r="I158" t="s">
        <v>2133</v>
      </c>
      <c r="K158" t="s">
        <v>125</v>
      </c>
      <c r="L158" t="s">
        <v>122</v>
      </c>
      <c r="M158" t="s">
        <v>123</v>
      </c>
      <c r="P158" t="s">
        <v>2270</v>
      </c>
      <c r="Q158" t="e">
        <f t="shared" si="4"/>
        <v>#N/A</v>
      </c>
      <c r="R158" t="e">
        <f t="shared" si="5"/>
        <v>#N/A</v>
      </c>
    </row>
    <row r="159" spans="1:18" x14ac:dyDescent="0.35">
      <c r="A159" s="11" t="s">
        <v>82</v>
      </c>
      <c r="B159" s="11" t="s">
        <v>680</v>
      </c>
      <c r="C159" s="11" t="s">
        <v>48</v>
      </c>
      <c r="D159" s="11" t="s">
        <v>122</v>
      </c>
      <c r="E159" s="11" t="s">
        <v>123</v>
      </c>
      <c r="F159" s="11" t="s">
        <v>124</v>
      </c>
      <c r="G159" s="11" t="s">
        <v>125</v>
      </c>
      <c r="I159" t="s">
        <v>48</v>
      </c>
      <c r="K159" t="s">
        <v>48</v>
      </c>
      <c r="L159" t="s">
        <v>122</v>
      </c>
      <c r="M159" t="s">
        <v>123</v>
      </c>
      <c r="N159" t="s">
        <v>2410</v>
      </c>
      <c r="O159" t="s">
        <v>2459</v>
      </c>
      <c r="Q159" t="e">
        <f t="shared" si="4"/>
        <v>#N/A</v>
      </c>
      <c r="R159">
        <f t="shared" si="5"/>
        <v>1</v>
      </c>
    </row>
    <row r="160" spans="1:18" x14ac:dyDescent="0.35">
      <c r="A160" s="11" t="s">
        <v>82</v>
      </c>
      <c r="B160" s="11" t="s">
        <v>681</v>
      </c>
      <c r="C160" s="11" t="s">
        <v>682</v>
      </c>
      <c r="D160" s="11" t="s">
        <v>122</v>
      </c>
      <c r="E160" s="11" t="s">
        <v>123</v>
      </c>
      <c r="F160" s="11" t="s">
        <v>124</v>
      </c>
      <c r="G160" s="11" t="s">
        <v>125</v>
      </c>
      <c r="I160" t="s">
        <v>682</v>
      </c>
      <c r="K160" t="s">
        <v>125</v>
      </c>
      <c r="L160" t="s">
        <v>122</v>
      </c>
      <c r="M160" t="s">
        <v>123</v>
      </c>
      <c r="N160" t="s">
        <v>2459</v>
      </c>
      <c r="O160" t="s">
        <v>2459</v>
      </c>
      <c r="Q160">
        <f t="shared" si="4"/>
        <v>1</v>
      </c>
      <c r="R160">
        <f t="shared" si="5"/>
        <v>1</v>
      </c>
    </row>
    <row r="161" spans="1:18" x14ac:dyDescent="0.35">
      <c r="A161" s="11"/>
      <c r="B161" s="11"/>
      <c r="C161" s="11"/>
      <c r="D161" s="11"/>
      <c r="E161" s="11"/>
      <c r="F161" s="11"/>
      <c r="G161" s="11"/>
      <c r="I161" t="s">
        <v>2132</v>
      </c>
      <c r="K161" t="s">
        <v>125</v>
      </c>
      <c r="L161" t="s">
        <v>122</v>
      </c>
      <c r="M161" t="s">
        <v>123</v>
      </c>
      <c r="P161" t="s">
        <v>2271</v>
      </c>
      <c r="Q161" t="e">
        <f t="shared" si="4"/>
        <v>#N/A</v>
      </c>
      <c r="R161" t="e">
        <f t="shared" si="5"/>
        <v>#N/A</v>
      </c>
    </row>
    <row r="162" spans="1:18" x14ac:dyDescent="0.35">
      <c r="A162" s="11" t="s">
        <v>82</v>
      </c>
      <c r="B162" s="11" t="s">
        <v>683</v>
      </c>
      <c r="C162" s="11" t="s">
        <v>684</v>
      </c>
      <c r="D162" s="11" t="s">
        <v>122</v>
      </c>
      <c r="E162" s="11" t="s">
        <v>123</v>
      </c>
      <c r="F162" s="11" t="s">
        <v>124</v>
      </c>
      <c r="G162" s="11" t="s">
        <v>125</v>
      </c>
      <c r="I162" t="s">
        <v>684</v>
      </c>
      <c r="K162" t="s">
        <v>125</v>
      </c>
      <c r="L162" t="s">
        <v>122</v>
      </c>
      <c r="M162" t="s">
        <v>123</v>
      </c>
      <c r="N162" t="s">
        <v>2459</v>
      </c>
      <c r="O162" t="s">
        <v>2459</v>
      </c>
      <c r="Q162">
        <f t="shared" si="4"/>
        <v>1</v>
      </c>
      <c r="R162">
        <f t="shared" si="5"/>
        <v>1</v>
      </c>
    </row>
    <row r="163" spans="1:18" x14ac:dyDescent="0.35">
      <c r="A163" s="11"/>
      <c r="B163" s="11"/>
      <c r="C163" s="11"/>
      <c r="D163" s="11"/>
      <c r="E163" s="11"/>
      <c r="F163" s="11"/>
      <c r="G163" s="11"/>
      <c r="I163" t="s">
        <v>2134</v>
      </c>
      <c r="K163" t="s">
        <v>125</v>
      </c>
      <c r="L163" t="s">
        <v>122</v>
      </c>
      <c r="M163" t="s">
        <v>123</v>
      </c>
      <c r="P163" t="s">
        <v>2272</v>
      </c>
      <c r="Q163" t="e">
        <f t="shared" si="4"/>
        <v>#N/A</v>
      </c>
      <c r="R163" t="e">
        <f t="shared" si="5"/>
        <v>#N/A</v>
      </c>
    </row>
    <row r="164" spans="1:18" x14ac:dyDescent="0.35">
      <c r="A164" s="11"/>
      <c r="B164" s="11"/>
      <c r="C164" s="11"/>
      <c r="D164" s="11"/>
      <c r="E164" s="11"/>
      <c r="F164" s="11"/>
      <c r="G164" s="11"/>
      <c r="I164" t="s">
        <v>2138</v>
      </c>
      <c r="K164" t="s">
        <v>125</v>
      </c>
      <c r="L164" t="s">
        <v>122</v>
      </c>
      <c r="M164" t="s">
        <v>123</v>
      </c>
      <c r="P164" t="s">
        <v>2272</v>
      </c>
      <c r="Q164" t="e">
        <f t="shared" si="4"/>
        <v>#N/A</v>
      </c>
      <c r="R164" t="e">
        <f t="shared" si="5"/>
        <v>#N/A</v>
      </c>
    </row>
    <row r="165" spans="1:18" x14ac:dyDescent="0.35">
      <c r="A165" s="11"/>
      <c r="B165" s="11"/>
      <c r="C165" s="11"/>
      <c r="D165" s="11"/>
      <c r="E165" s="11"/>
      <c r="F165" s="11"/>
      <c r="G165" s="11"/>
      <c r="I165" t="s">
        <v>2135</v>
      </c>
      <c r="K165" t="s">
        <v>125</v>
      </c>
      <c r="L165" t="s">
        <v>122</v>
      </c>
      <c r="M165" t="s">
        <v>123</v>
      </c>
      <c r="P165" t="s">
        <v>2272</v>
      </c>
      <c r="Q165" t="e">
        <f t="shared" si="4"/>
        <v>#N/A</v>
      </c>
      <c r="R165" t="e">
        <f t="shared" si="5"/>
        <v>#N/A</v>
      </c>
    </row>
    <row r="166" spans="1:18" x14ac:dyDescent="0.35">
      <c r="A166" s="11"/>
      <c r="B166" s="11"/>
      <c r="C166" s="11"/>
      <c r="D166" s="11"/>
      <c r="E166" s="11"/>
      <c r="F166" s="11"/>
      <c r="G166" s="11"/>
      <c r="I166" t="s">
        <v>2136</v>
      </c>
      <c r="K166" t="s">
        <v>125</v>
      </c>
      <c r="L166" t="s">
        <v>122</v>
      </c>
      <c r="M166" t="s">
        <v>123</v>
      </c>
      <c r="P166" t="s">
        <v>2272</v>
      </c>
      <c r="Q166" t="e">
        <f t="shared" si="4"/>
        <v>#N/A</v>
      </c>
      <c r="R166" t="e">
        <f t="shared" si="5"/>
        <v>#N/A</v>
      </c>
    </row>
    <row r="167" spans="1:18" x14ac:dyDescent="0.35">
      <c r="A167" s="11"/>
      <c r="B167" s="11"/>
      <c r="C167" s="11"/>
      <c r="D167" s="11"/>
      <c r="E167" s="11"/>
      <c r="F167" s="11"/>
      <c r="G167" s="11"/>
      <c r="I167" t="s">
        <v>2137</v>
      </c>
      <c r="K167" t="s">
        <v>125</v>
      </c>
      <c r="L167" t="s">
        <v>122</v>
      </c>
      <c r="M167" t="s">
        <v>123</v>
      </c>
      <c r="P167" t="s">
        <v>2272</v>
      </c>
      <c r="Q167" t="e">
        <f t="shared" si="4"/>
        <v>#N/A</v>
      </c>
      <c r="R167" t="e">
        <f t="shared" si="5"/>
        <v>#N/A</v>
      </c>
    </row>
    <row r="168" spans="1:18" x14ac:dyDescent="0.35">
      <c r="A168" s="11" t="s">
        <v>82</v>
      </c>
      <c r="B168" s="11" t="s">
        <v>685</v>
      </c>
      <c r="C168" s="11" t="s">
        <v>686</v>
      </c>
      <c r="D168" s="11" t="s">
        <v>122</v>
      </c>
      <c r="E168" s="11" t="s">
        <v>123</v>
      </c>
      <c r="F168" s="11" t="s">
        <v>124</v>
      </c>
      <c r="G168" s="11" t="s">
        <v>125</v>
      </c>
      <c r="I168" t="s">
        <v>686</v>
      </c>
      <c r="K168" t="s">
        <v>48</v>
      </c>
      <c r="L168" t="s">
        <v>122</v>
      </c>
      <c r="M168" t="s">
        <v>123</v>
      </c>
      <c r="N168" t="s">
        <v>2410</v>
      </c>
      <c r="O168" t="s">
        <v>2459</v>
      </c>
      <c r="Q168" t="e">
        <f t="shared" si="4"/>
        <v>#N/A</v>
      </c>
      <c r="R168">
        <f t="shared" si="5"/>
        <v>1</v>
      </c>
    </row>
    <row r="169" spans="1:18" x14ac:dyDescent="0.35">
      <c r="A169" s="11" t="s">
        <v>82</v>
      </c>
      <c r="B169" s="11" t="s">
        <v>687</v>
      </c>
      <c r="C169" s="11" t="s">
        <v>688</v>
      </c>
      <c r="D169" s="11" t="s">
        <v>122</v>
      </c>
      <c r="E169" s="11" t="s">
        <v>123</v>
      </c>
      <c r="F169" s="11" t="s">
        <v>124</v>
      </c>
      <c r="G169" s="11" t="s">
        <v>125</v>
      </c>
      <c r="I169" t="s">
        <v>688</v>
      </c>
      <c r="K169" t="s">
        <v>48</v>
      </c>
      <c r="L169" t="s">
        <v>122</v>
      </c>
      <c r="M169" t="s">
        <v>123</v>
      </c>
      <c r="N169" t="s">
        <v>2410</v>
      </c>
      <c r="O169" t="s">
        <v>2459</v>
      </c>
      <c r="Q169" t="e">
        <f t="shared" si="4"/>
        <v>#N/A</v>
      </c>
      <c r="R169">
        <f t="shared" si="5"/>
        <v>1</v>
      </c>
    </row>
    <row r="170" spans="1:18" x14ac:dyDescent="0.35">
      <c r="A170" s="11"/>
      <c r="B170" s="11"/>
      <c r="C170" s="11"/>
      <c r="D170" s="11"/>
      <c r="E170" s="11"/>
      <c r="F170" s="11"/>
      <c r="G170" s="11"/>
      <c r="I170" t="s">
        <v>2131</v>
      </c>
      <c r="K170" t="s">
        <v>125</v>
      </c>
      <c r="L170" t="s">
        <v>122</v>
      </c>
      <c r="M170" t="s">
        <v>123</v>
      </c>
      <c r="P170" t="s">
        <v>2273</v>
      </c>
      <c r="Q170" t="e">
        <f t="shared" si="4"/>
        <v>#N/A</v>
      </c>
      <c r="R170" t="e">
        <f t="shared" si="5"/>
        <v>#N/A</v>
      </c>
    </row>
    <row r="171" spans="1:18" x14ac:dyDescent="0.35">
      <c r="A171" s="11" t="s">
        <v>82</v>
      </c>
      <c r="B171" s="11" t="s">
        <v>689</v>
      </c>
      <c r="C171" s="11" t="s">
        <v>690</v>
      </c>
      <c r="D171" s="11" t="s">
        <v>122</v>
      </c>
      <c r="E171" s="11" t="s">
        <v>123</v>
      </c>
      <c r="F171" s="11" t="s">
        <v>127</v>
      </c>
      <c r="G171" s="11" t="s">
        <v>128</v>
      </c>
      <c r="I171" t="s">
        <v>690</v>
      </c>
      <c r="K171" t="s">
        <v>48</v>
      </c>
      <c r="L171" t="s">
        <v>122</v>
      </c>
      <c r="M171" t="s">
        <v>123</v>
      </c>
      <c r="N171" t="s">
        <v>2410</v>
      </c>
      <c r="O171" t="s">
        <v>2459</v>
      </c>
      <c r="Q171" t="e">
        <f t="shared" si="4"/>
        <v>#N/A</v>
      </c>
      <c r="R171">
        <f t="shared" si="5"/>
        <v>1</v>
      </c>
    </row>
    <row r="172" spans="1:18" x14ac:dyDescent="0.35">
      <c r="A172" s="11" t="s">
        <v>82</v>
      </c>
      <c r="B172" s="11" t="s">
        <v>691</v>
      </c>
      <c r="C172" s="11" t="s">
        <v>692</v>
      </c>
      <c r="D172" s="11" t="s">
        <v>122</v>
      </c>
      <c r="E172" s="11" t="s">
        <v>123</v>
      </c>
      <c r="F172" s="11" t="s">
        <v>127</v>
      </c>
      <c r="G172" s="11" t="s">
        <v>128</v>
      </c>
      <c r="I172" t="s">
        <v>692</v>
      </c>
      <c r="K172" t="s">
        <v>48</v>
      </c>
      <c r="L172" t="s">
        <v>122</v>
      </c>
      <c r="M172" t="s">
        <v>123</v>
      </c>
      <c r="N172" t="s">
        <v>2410</v>
      </c>
      <c r="O172" t="s">
        <v>2459</v>
      </c>
      <c r="Q172" t="e">
        <f t="shared" si="4"/>
        <v>#N/A</v>
      </c>
      <c r="R172">
        <f t="shared" si="5"/>
        <v>1</v>
      </c>
    </row>
    <row r="173" spans="1:18" x14ac:dyDescent="0.35">
      <c r="A173" s="11"/>
      <c r="B173" s="11"/>
      <c r="C173" s="11"/>
      <c r="D173" s="11"/>
      <c r="E173" s="11"/>
      <c r="F173" s="11"/>
      <c r="G173" s="11"/>
      <c r="I173" t="s">
        <v>2122</v>
      </c>
      <c r="K173" t="s">
        <v>48</v>
      </c>
      <c r="L173" t="s">
        <v>122</v>
      </c>
      <c r="M173" t="s">
        <v>123</v>
      </c>
      <c r="N173" t="s">
        <v>2410</v>
      </c>
      <c r="O173" t="s">
        <v>2459</v>
      </c>
      <c r="P173" t="s">
        <v>2255</v>
      </c>
      <c r="Q173" t="e">
        <f t="shared" si="4"/>
        <v>#N/A</v>
      </c>
      <c r="R173" t="e">
        <f t="shared" si="5"/>
        <v>#N/A</v>
      </c>
    </row>
    <row r="174" spans="1:18" x14ac:dyDescent="0.35">
      <c r="A174" s="11" t="s">
        <v>82</v>
      </c>
      <c r="B174" s="11" t="s">
        <v>693</v>
      </c>
      <c r="C174" s="11" t="s">
        <v>694</v>
      </c>
      <c r="D174" s="11" t="s">
        <v>122</v>
      </c>
      <c r="E174" s="11" t="s">
        <v>123</v>
      </c>
      <c r="F174" s="11" t="s">
        <v>127</v>
      </c>
      <c r="G174" s="11" t="s">
        <v>128</v>
      </c>
      <c r="I174" t="s">
        <v>694</v>
      </c>
      <c r="K174" t="s">
        <v>128</v>
      </c>
      <c r="L174" t="s">
        <v>122</v>
      </c>
      <c r="M174" t="s">
        <v>123</v>
      </c>
      <c r="N174" t="s">
        <v>2459</v>
      </c>
      <c r="O174" t="s">
        <v>2459</v>
      </c>
      <c r="Q174">
        <f t="shared" si="4"/>
        <v>1</v>
      </c>
      <c r="R174">
        <f t="shared" si="5"/>
        <v>1</v>
      </c>
    </row>
    <row r="175" spans="1:18" x14ac:dyDescent="0.35">
      <c r="A175" s="11"/>
      <c r="B175" s="11"/>
      <c r="C175" s="11"/>
      <c r="D175" s="11"/>
      <c r="E175" s="11"/>
      <c r="F175" s="11"/>
      <c r="G175" s="11"/>
      <c r="I175" t="s">
        <v>2123</v>
      </c>
      <c r="K175" t="s">
        <v>128</v>
      </c>
      <c r="L175" t="s">
        <v>122</v>
      </c>
      <c r="M175" t="s">
        <v>123</v>
      </c>
      <c r="P175" t="s">
        <v>2255</v>
      </c>
      <c r="Q175" t="e">
        <f t="shared" si="4"/>
        <v>#N/A</v>
      </c>
      <c r="R175" t="e">
        <f t="shared" si="5"/>
        <v>#N/A</v>
      </c>
    </row>
    <row r="176" spans="1:18" x14ac:dyDescent="0.35">
      <c r="A176" s="11"/>
      <c r="B176" s="11"/>
      <c r="C176" s="11"/>
      <c r="D176" s="11"/>
      <c r="E176" s="11"/>
      <c r="F176" s="11"/>
      <c r="G176" s="11"/>
      <c r="I176" t="s">
        <v>2125</v>
      </c>
      <c r="K176" t="s">
        <v>128</v>
      </c>
      <c r="L176" t="s">
        <v>122</v>
      </c>
      <c r="M176" t="s">
        <v>123</v>
      </c>
      <c r="P176" t="s">
        <v>2255</v>
      </c>
      <c r="Q176" t="e">
        <f t="shared" si="4"/>
        <v>#N/A</v>
      </c>
      <c r="R176" t="e">
        <f t="shared" si="5"/>
        <v>#N/A</v>
      </c>
    </row>
    <row r="177" spans="1:18" x14ac:dyDescent="0.35">
      <c r="A177" s="11"/>
      <c r="B177" s="11"/>
      <c r="C177" s="11"/>
      <c r="D177" s="11"/>
      <c r="E177" s="11"/>
      <c r="F177" s="11"/>
      <c r="G177" s="11"/>
      <c r="I177" t="s">
        <v>2124</v>
      </c>
      <c r="K177" t="s">
        <v>128</v>
      </c>
      <c r="L177" t="s">
        <v>122</v>
      </c>
      <c r="M177" t="s">
        <v>123</v>
      </c>
      <c r="P177" t="s">
        <v>2255</v>
      </c>
      <c r="Q177" t="e">
        <f t="shared" si="4"/>
        <v>#N/A</v>
      </c>
      <c r="R177" t="e">
        <f t="shared" si="5"/>
        <v>#N/A</v>
      </c>
    </row>
    <row r="178" spans="1:18" x14ac:dyDescent="0.35">
      <c r="A178" s="11" t="s">
        <v>82</v>
      </c>
      <c r="B178" s="11" t="s">
        <v>695</v>
      </c>
      <c r="C178" s="11" t="s">
        <v>696</v>
      </c>
      <c r="D178" s="11" t="s">
        <v>122</v>
      </c>
      <c r="E178" s="11" t="s">
        <v>123</v>
      </c>
      <c r="F178" s="11" t="s">
        <v>127</v>
      </c>
      <c r="G178" s="11" t="s">
        <v>128</v>
      </c>
      <c r="I178" t="s">
        <v>696</v>
      </c>
      <c r="K178" t="s">
        <v>128</v>
      </c>
      <c r="L178" t="s">
        <v>122</v>
      </c>
      <c r="M178" t="s">
        <v>123</v>
      </c>
      <c r="N178" t="s">
        <v>2459</v>
      </c>
      <c r="O178" t="s">
        <v>2459</v>
      </c>
      <c r="Q178">
        <f t="shared" si="4"/>
        <v>1</v>
      </c>
      <c r="R178">
        <f t="shared" si="5"/>
        <v>1</v>
      </c>
    </row>
    <row r="179" spans="1:18" x14ac:dyDescent="0.35">
      <c r="A179" s="11"/>
      <c r="B179" s="11"/>
      <c r="C179" s="11"/>
      <c r="D179" s="11"/>
      <c r="E179" s="11"/>
      <c r="F179" s="11"/>
      <c r="G179" s="11"/>
      <c r="I179" t="s">
        <v>128</v>
      </c>
      <c r="K179" t="s">
        <v>128</v>
      </c>
      <c r="L179" t="s">
        <v>122</v>
      </c>
      <c r="M179" t="s">
        <v>123</v>
      </c>
      <c r="P179" t="s">
        <v>2274</v>
      </c>
      <c r="Q179" t="e">
        <f t="shared" si="4"/>
        <v>#N/A</v>
      </c>
      <c r="R179" t="e">
        <f t="shared" si="5"/>
        <v>#N/A</v>
      </c>
    </row>
    <row r="180" spans="1:18" x14ac:dyDescent="0.35">
      <c r="A180" s="11"/>
      <c r="B180" s="11"/>
      <c r="C180" s="11"/>
      <c r="D180" s="11"/>
      <c r="E180" s="11"/>
      <c r="F180" s="11"/>
      <c r="G180" s="11"/>
      <c r="I180" t="s">
        <v>2126</v>
      </c>
      <c r="K180" t="s">
        <v>128</v>
      </c>
      <c r="L180" t="s">
        <v>122</v>
      </c>
      <c r="M180" t="s">
        <v>123</v>
      </c>
      <c r="P180" t="s">
        <v>2274</v>
      </c>
      <c r="Q180" t="e">
        <f t="shared" si="4"/>
        <v>#N/A</v>
      </c>
      <c r="R180" t="e">
        <f t="shared" si="5"/>
        <v>#N/A</v>
      </c>
    </row>
    <row r="181" spans="1:18" x14ac:dyDescent="0.35">
      <c r="A181" s="11"/>
      <c r="B181" s="11"/>
      <c r="C181" s="11"/>
      <c r="D181" s="11"/>
      <c r="E181" s="11"/>
      <c r="F181" s="11"/>
      <c r="G181" s="11"/>
      <c r="I181" t="s">
        <v>2127</v>
      </c>
      <c r="K181" t="s">
        <v>128</v>
      </c>
      <c r="L181" t="s">
        <v>122</v>
      </c>
      <c r="M181" t="s">
        <v>123</v>
      </c>
      <c r="P181" t="s">
        <v>2274</v>
      </c>
      <c r="Q181" t="e">
        <f t="shared" si="4"/>
        <v>#N/A</v>
      </c>
      <c r="R181" t="e">
        <f t="shared" si="5"/>
        <v>#N/A</v>
      </c>
    </row>
    <row r="182" spans="1:18" ht="16.5" customHeight="1" x14ac:dyDescent="0.35">
      <c r="A182" s="11"/>
      <c r="B182" s="11"/>
      <c r="C182" s="11"/>
      <c r="D182" s="11"/>
      <c r="E182" s="11"/>
      <c r="F182" s="11"/>
      <c r="G182" s="11"/>
      <c r="I182" t="s">
        <v>2128</v>
      </c>
      <c r="K182" t="s">
        <v>128</v>
      </c>
      <c r="L182" t="s">
        <v>122</v>
      </c>
      <c r="M182" t="s">
        <v>123</v>
      </c>
      <c r="P182" t="s">
        <v>2274</v>
      </c>
      <c r="Q182" t="e">
        <f t="shared" si="4"/>
        <v>#N/A</v>
      </c>
      <c r="R182" t="e">
        <f t="shared" si="5"/>
        <v>#N/A</v>
      </c>
    </row>
    <row r="183" spans="1:18" ht="16.5" customHeight="1" x14ac:dyDescent="0.35">
      <c r="A183" s="11"/>
      <c r="B183" s="11"/>
      <c r="C183" s="11"/>
      <c r="D183" s="11"/>
      <c r="E183" s="11"/>
      <c r="F183" s="11"/>
      <c r="G183" s="11"/>
      <c r="I183" t="s">
        <v>2129</v>
      </c>
      <c r="K183" t="s">
        <v>128</v>
      </c>
      <c r="L183" t="s">
        <v>122</v>
      </c>
      <c r="M183" t="s">
        <v>123</v>
      </c>
      <c r="P183" t="s">
        <v>2274</v>
      </c>
      <c r="Q183" t="e">
        <f t="shared" si="4"/>
        <v>#N/A</v>
      </c>
      <c r="R183" t="e">
        <f t="shared" si="5"/>
        <v>#N/A</v>
      </c>
    </row>
    <row r="184" spans="1:18" ht="16.5" customHeight="1" x14ac:dyDescent="0.35">
      <c r="A184" s="11"/>
      <c r="B184" s="11"/>
      <c r="C184" s="11"/>
      <c r="D184" s="11"/>
      <c r="E184" s="11"/>
      <c r="F184" s="11"/>
      <c r="G184" s="11"/>
      <c r="I184" t="s">
        <v>2130</v>
      </c>
      <c r="K184" t="s">
        <v>128</v>
      </c>
      <c r="L184" t="s">
        <v>122</v>
      </c>
      <c r="M184" t="s">
        <v>123</v>
      </c>
      <c r="P184" t="s">
        <v>2274</v>
      </c>
      <c r="Q184" t="e">
        <f t="shared" si="4"/>
        <v>#N/A</v>
      </c>
      <c r="R184" t="e">
        <f t="shared" si="5"/>
        <v>#N/A</v>
      </c>
    </row>
    <row r="185" spans="1:18" x14ac:dyDescent="0.35">
      <c r="A185" s="11" t="s">
        <v>82</v>
      </c>
      <c r="B185" s="11" t="s">
        <v>697</v>
      </c>
      <c r="C185" s="11" t="s">
        <v>698</v>
      </c>
      <c r="D185" s="11" t="s">
        <v>122</v>
      </c>
      <c r="E185" s="11" t="s">
        <v>123</v>
      </c>
      <c r="F185" s="11" t="s">
        <v>127</v>
      </c>
      <c r="G185" s="11" t="s">
        <v>128</v>
      </c>
      <c r="I185" t="s">
        <v>698</v>
      </c>
      <c r="K185" t="s">
        <v>128</v>
      </c>
      <c r="L185" t="s">
        <v>122</v>
      </c>
      <c r="M185" t="s">
        <v>123</v>
      </c>
      <c r="N185" t="s">
        <v>2459</v>
      </c>
      <c r="O185" t="s">
        <v>2459</v>
      </c>
      <c r="Q185">
        <f t="shared" si="4"/>
        <v>1</v>
      </c>
      <c r="R185">
        <f t="shared" si="5"/>
        <v>1</v>
      </c>
    </row>
    <row r="186" spans="1:18" x14ac:dyDescent="0.35">
      <c r="A186" s="11" t="s">
        <v>82</v>
      </c>
      <c r="B186" s="11" t="s">
        <v>699</v>
      </c>
      <c r="C186" s="11" t="s">
        <v>700</v>
      </c>
      <c r="D186" s="11" t="s">
        <v>122</v>
      </c>
      <c r="E186" s="11" t="s">
        <v>123</v>
      </c>
      <c r="F186" s="11" t="s">
        <v>130</v>
      </c>
      <c r="G186" s="11" t="s">
        <v>131</v>
      </c>
      <c r="I186" t="s">
        <v>700</v>
      </c>
      <c r="K186" t="s">
        <v>131</v>
      </c>
      <c r="L186" t="s">
        <v>122</v>
      </c>
      <c r="M186" t="s">
        <v>123</v>
      </c>
      <c r="N186" t="s">
        <v>2459</v>
      </c>
      <c r="O186" t="s">
        <v>2459</v>
      </c>
      <c r="Q186">
        <f t="shared" si="4"/>
        <v>1</v>
      </c>
      <c r="R186">
        <f t="shared" si="5"/>
        <v>1</v>
      </c>
    </row>
    <row r="187" spans="1:18" x14ac:dyDescent="0.35">
      <c r="A187" s="11" t="s">
        <v>82</v>
      </c>
      <c r="B187" s="11" t="s">
        <v>701</v>
      </c>
      <c r="C187" s="11" t="s">
        <v>702</v>
      </c>
      <c r="D187" s="11" t="s">
        <v>122</v>
      </c>
      <c r="E187" s="11" t="s">
        <v>123</v>
      </c>
      <c r="F187" s="11" t="s">
        <v>130</v>
      </c>
      <c r="G187" s="11" t="s">
        <v>131</v>
      </c>
      <c r="I187" t="s">
        <v>702</v>
      </c>
      <c r="K187" t="s">
        <v>131</v>
      </c>
      <c r="L187" t="s">
        <v>122</v>
      </c>
      <c r="M187" t="s">
        <v>123</v>
      </c>
      <c r="N187" t="s">
        <v>2459</v>
      </c>
      <c r="O187" t="s">
        <v>2459</v>
      </c>
      <c r="Q187">
        <f t="shared" si="4"/>
        <v>1</v>
      </c>
      <c r="R187">
        <f t="shared" si="5"/>
        <v>1</v>
      </c>
    </row>
    <row r="188" spans="1:18" x14ac:dyDescent="0.35">
      <c r="A188" s="11" t="s">
        <v>82</v>
      </c>
      <c r="B188" s="11" t="s">
        <v>703</v>
      </c>
      <c r="C188" s="11" t="s">
        <v>704</v>
      </c>
      <c r="D188" s="11" t="s">
        <v>122</v>
      </c>
      <c r="E188" s="11" t="s">
        <v>123</v>
      </c>
      <c r="F188" s="11" t="s">
        <v>130</v>
      </c>
      <c r="G188" s="11" t="s">
        <v>131</v>
      </c>
      <c r="I188" t="s">
        <v>704</v>
      </c>
      <c r="K188" t="s">
        <v>131</v>
      </c>
      <c r="L188" t="s">
        <v>122</v>
      </c>
      <c r="M188" t="s">
        <v>123</v>
      </c>
      <c r="N188" t="s">
        <v>2459</v>
      </c>
      <c r="O188" t="s">
        <v>2459</v>
      </c>
      <c r="Q188">
        <f t="shared" si="4"/>
        <v>1</v>
      </c>
      <c r="R188">
        <f t="shared" si="5"/>
        <v>1</v>
      </c>
    </row>
    <row r="189" spans="1:18" x14ac:dyDescent="0.35">
      <c r="A189" s="11"/>
      <c r="B189" s="11"/>
      <c r="C189" s="11"/>
      <c r="D189" s="11"/>
      <c r="E189" s="11"/>
      <c r="F189" s="11"/>
      <c r="G189" s="11"/>
      <c r="I189" t="s">
        <v>2120</v>
      </c>
      <c r="K189" t="s">
        <v>131</v>
      </c>
      <c r="L189" t="s">
        <v>122</v>
      </c>
      <c r="M189" t="s">
        <v>123</v>
      </c>
      <c r="P189" t="s">
        <v>2266</v>
      </c>
      <c r="Q189" t="e">
        <f t="shared" si="4"/>
        <v>#N/A</v>
      </c>
      <c r="R189" t="e">
        <f t="shared" si="5"/>
        <v>#N/A</v>
      </c>
    </row>
    <row r="190" spans="1:18" x14ac:dyDescent="0.35">
      <c r="A190" s="11"/>
      <c r="B190" s="11"/>
      <c r="C190" s="11"/>
      <c r="D190" s="11"/>
      <c r="E190" s="11"/>
      <c r="F190" s="11"/>
      <c r="G190" s="11"/>
      <c r="I190" t="s">
        <v>2119</v>
      </c>
      <c r="K190" t="s">
        <v>131</v>
      </c>
      <c r="L190" t="s">
        <v>122</v>
      </c>
      <c r="M190" t="s">
        <v>123</v>
      </c>
      <c r="P190" t="s">
        <v>2266</v>
      </c>
      <c r="Q190" t="e">
        <f t="shared" si="4"/>
        <v>#N/A</v>
      </c>
      <c r="R190" t="e">
        <f t="shared" si="5"/>
        <v>#N/A</v>
      </c>
    </row>
    <row r="191" spans="1:18" x14ac:dyDescent="0.35">
      <c r="A191" s="11"/>
      <c r="B191" s="11"/>
      <c r="C191" s="11"/>
      <c r="D191" s="11"/>
      <c r="E191" s="11"/>
      <c r="F191" s="11"/>
      <c r="G191" s="11"/>
      <c r="I191" t="s">
        <v>2118</v>
      </c>
      <c r="K191" t="s">
        <v>131</v>
      </c>
      <c r="L191" t="s">
        <v>122</v>
      </c>
      <c r="M191" t="s">
        <v>123</v>
      </c>
      <c r="P191" t="s">
        <v>2266</v>
      </c>
      <c r="Q191" t="e">
        <f t="shared" si="4"/>
        <v>#N/A</v>
      </c>
      <c r="R191" t="e">
        <f t="shared" si="5"/>
        <v>#N/A</v>
      </c>
    </row>
    <row r="192" spans="1:18" x14ac:dyDescent="0.35">
      <c r="A192" s="11"/>
      <c r="B192" s="11"/>
      <c r="C192" s="11"/>
      <c r="D192" s="11"/>
      <c r="E192" s="11"/>
      <c r="F192" s="11"/>
      <c r="G192" s="11"/>
      <c r="I192" t="s">
        <v>2116</v>
      </c>
      <c r="K192" t="s">
        <v>131</v>
      </c>
      <c r="L192" t="s">
        <v>122</v>
      </c>
      <c r="M192" t="s">
        <v>123</v>
      </c>
      <c r="P192" t="s">
        <v>2266</v>
      </c>
      <c r="Q192" t="e">
        <f t="shared" si="4"/>
        <v>#N/A</v>
      </c>
      <c r="R192" t="e">
        <f t="shared" si="5"/>
        <v>#N/A</v>
      </c>
    </row>
    <row r="193" spans="1:18" x14ac:dyDescent="0.35">
      <c r="A193" s="11"/>
      <c r="B193" s="11"/>
      <c r="C193" s="11"/>
      <c r="D193" s="11"/>
      <c r="E193" s="11"/>
      <c r="F193" s="11"/>
      <c r="G193" s="11"/>
      <c r="I193" t="s">
        <v>2115</v>
      </c>
      <c r="K193" t="s">
        <v>131</v>
      </c>
      <c r="L193" t="s">
        <v>122</v>
      </c>
      <c r="M193" t="s">
        <v>123</v>
      </c>
      <c r="P193" t="s">
        <v>2266</v>
      </c>
      <c r="Q193" t="e">
        <f t="shared" si="4"/>
        <v>#N/A</v>
      </c>
      <c r="R193" t="e">
        <f t="shared" si="5"/>
        <v>#N/A</v>
      </c>
    </row>
    <row r="194" spans="1:18" x14ac:dyDescent="0.35">
      <c r="A194" s="11"/>
      <c r="B194" s="11"/>
      <c r="C194" s="11"/>
      <c r="D194" s="11"/>
      <c r="E194" s="11"/>
      <c r="F194" s="11"/>
      <c r="G194" s="11"/>
      <c r="I194" t="s">
        <v>2114</v>
      </c>
      <c r="K194" t="s">
        <v>131</v>
      </c>
      <c r="L194" t="s">
        <v>122</v>
      </c>
      <c r="M194" t="s">
        <v>123</v>
      </c>
      <c r="P194" t="s">
        <v>2266</v>
      </c>
      <c r="Q194" t="e">
        <f t="shared" si="4"/>
        <v>#N/A</v>
      </c>
      <c r="R194" t="e">
        <f t="shared" si="5"/>
        <v>#N/A</v>
      </c>
    </row>
    <row r="195" spans="1:18" x14ac:dyDescent="0.35">
      <c r="A195" s="11"/>
      <c r="B195" s="11"/>
      <c r="C195" s="11"/>
      <c r="D195" s="11"/>
      <c r="E195" s="11"/>
      <c r="F195" s="11"/>
      <c r="G195" s="11"/>
      <c r="I195" t="s">
        <v>2117</v>
      </c>
      <c r="K195" t="s">
        <v>131</v>
      </c>
      <c r="L195" t="s">
        <v>122</v>
      </c>
      <c r="M195" t="s">
        <v>123</v>
      </c>
      <c r="P195" t="s">
        <v>2266</v>
      </c>
      <c r="Q195" t="e">
        <f t="shared" ref="Q195:Q258" si="6">MATCH(G195,K195,0)</f>
        <v>#N/A</v>
      </c>
      <c r="R195" t="e">
        <f t="shared" ref="R195:R258" si="7">MATCH(E195,M195,0)</f>
        <v>#N/A</v>
      </c>
    </row>
    <row r="196" spans="1:18" x14ac:dyDescent="0.35">
      <c r="A196" s="11"/>
      <c r="B196" s="11"/>
      <c r="C196" s="11"/>
      <c r="D196" s="11"/>
      <c r="E196" s="11"/>
      <c r="F196" s="11"/>
      <c r="G196" s="11"/>
      <c r="I196" t="s">
        <v>2121</v>
      </c>
      <c r="K196" t="s">
        <v>48</v>
      </c>
      <c r="L196" t="s">
        <v>122</v>
      </c>
      <c r="M196" t="s">
        <v>123</v>
      </c>
      <c r="N196" t="s">
        <v>2410</v>
      </c>
      <c r="O196" t="s">
        <v>2459</v>
      </c>
      <c r="P196" t="s">
        <v>2266</v>
      </c>
      <c r="Q196" t="e">
        <f t="shared" si="6"/>
        <v>#N/A</v>
      </c>
      <c r="R196" t="e">
        <f t="shared" si="7"/>
        <v>#N/A</v>
      </c>
    </row>
    <row r="197" spans="1:18" x14ac:dyDescent="0.35">
      <c r="A197" s="11" t="s">
        <v>82</v>
      </c>
      <c r="B197" s="11" t="s">
        <v>705</v>
      </c>
      <c r="C197" s="11" t="s">
        <v>706</v>
      </c>
      <c r="D197" s="11" t="s">
        <v>122</v>
      </c>
      <c r="E197" s="11" t="s">
        <v>123</v>
      </c>
      <c r="F197" s="11" t="s">
        <v>130</v>
      </c>
      <c r="G197" s="11" t="s">
        <v>131</v>
      </c>
      <c r="I197" t="s">
        <v>706</v>
      </c>
      <c r="K197" t="s">
        <v>131</v>
      </c>
      <c r="L197" t="s">
        <v>122</v>
      </c>
      <c r="M197" t="s">
        <v>123</v>
      </c>
      <c r="N197" t="s">
        <v>2459</v>
      </c>
      <c r="O197" t="s">
        <v>2459</v>
      </c>
      <c r="Q197">
        <f t="shared" si="6"/>
        <v>1</v>
      </c>
      <c r="R197">
        <f t="shared" si="7"/>
        <v>1</v>
      </c>
    </row>
    <row r="198" spans="1:18" x14ac:dyDescent="0.35">
      <c r="A198" s="11" t="s">
        <v>82</v>
      </c>
      <c r="B198" s="11" t="s">
        <v>707</v>
      </c>
      <c r="C198" s="11" t="s">
        <v>708</v>
      </c>
      <c r="D198" s="11" t="s">
        <v>122</v>
      </c>
      <c r="E198" s="11" t="s">
        <v>123</v>
      </c>
      <c r="F198" s="11" t="s">
        <v>130</v>
      </c>
      <c r="G198" s="11" t="s">
        <v>131</v>
      </c>
      <c r="I198" t="s">
        <v>708</v>
      </c>
      <c r="K198" t="s">
        <v>131</v>
      </c>
      <c r="L198" t="s">
        <v>122</v>
      </c>
      <c r="M198" t="s">
        <v>123</v>
      </c>
      <c r="N198" t="s">
        <v>2459</v>
      </c>
      <c r="O198" t="s">
        <v>2459</v>
      </c>
      <c r="Q198">
        <f t="shared" si="6"/>
        <v>1</v>
      </c>
      <c r="R198">
        <f t="shared" si="7"/>
        <v>1</v>
      </c>
    </row>
    <row r="199" spans="1:18" x14ac:dyDescent="0.35">
      <c r="A199" s="11" t="s">
        <v>82</v>
      </c>
      <c r="B199" s="11" t="s">
        <v>709</v>
      </c>
      <c r="C199" s="11" t="s">
        <v>710</v>
      </c>
      <c r="D199" s="11" t="s">
        <v>133</v>
      </c>
      <c r="E199" s="11" t="s">
        <v>134</v>
      </c>
      <c r="F199" s="11" t="s">
        <v>135</v>
      </c>
      <c r="G199" s="11" t="s">
        <v>136</v>
      </c>
      <c r="I199" t="s">
        <v>710</v>
      </c>
      <c r="K199" t="s">
        <v>136</v>
      </c>
      <c r="L199" t="s">
        <v>133</v>
      </c>
      <c r="M199" t="s">
        <v>134</v>
      </c>
      <c r="N199" t="s">
        <v>2459</v>
      </c>
      <c r="O199" t="s">
        <v>2459</v>
      </c>
      <c r="Q199">
        <f t="shared" si="6"/>
        <v>1</v>
      </c>
      <c r="R199">
        <f t="shared" si="7"/>
        <v>1</v>
      </c>
    </row>
    <row r="200" spans="1:18" x14ac:dyDescent="0.35">
      <c r="A200" s="11" t="s">
        <v>82</v>
      </c>
      <c r="B200" s="11" t="s">
        <v>711</v>
      </c>
      <c r="C200" s="11" t="s">
        <v>712</v>
      </c>
      <c r="D200" s="11" t="s">
        <v>133</v>
      </c>
      <c r="E200" s="11" t="s">
        <v>134</v>
      </c>
      <c r="F200" s="11" t="s">
        <v>135</v>
      </c>
      <c r="G200" s="11" t="s">
        <v>136</v>
      </c>
      <c r="I200" t="s">
        <v>712</v>
      </c>
      <c r="K200" t="s">
        <v>136</v>
      </c>
      <c r="L200" t="s">
        <v>133</v>
      </c>
      <c r="M200" t="s">
        <v>134</v>
      </c>
      <c r="N200" t="s">
        <v>2459</v>
      </c>
      <c r="O200" t="s">
        <v>2459</v>
      </c>
      <c r="Q200">
        <f t="shared" si="6"/>
        <v>1</v>
      </c>
      <c r="R200">
        <f t="shared" si="7"/>
        <v>1</v>
      </c>
    </row>
    <row r="201" spans="1:18" x14ac:dyDescent="0.35">
      <c r="A201" s="11" t="s">
        <v>82</v>
      </c>
      <c r="B201" s="11" t="s">
        <v>713</v>
      </c>
      <c r="C201" s="11" t="s">
        <v>714</v>
      </c>
      <c r="D201" s="11" t="s">
        <v>133</v>
      </c>
      <c r="E201" s="11" t="s">
        <v>134</v>
      </c>
      <c r="F201" s="11" t="s">
        <v>135</v>
      </c>
      <c r="G201" s="11" t="s">
        <v>136</v>
      </c>
      <c r="I201" t="s">
        <v>714</v>
      </c>
      <c r="K201" t="s">
        <v>136</v>
      </c>
      <c r="L201" t="s">
        <v>133</v>
      </c>
      <c r="M201" t="s">
        <v>134</v>
      </c>
      <c r="N201" t="s">
        <v>2459</v>
      </c>
      <c r="O201" t="s">
        <v>2459</v>
      </c>
      <c r="Q201">
        <f t="shared" si="6"/>
        <v>1</v>
      </c>
      <c r="R201">
        <f t="shared" si="7"/>
        <v>1</v>
      </c>
    </row>
    <row r="202" spans="1:18" x14ac:dyDescent="0.35">
      <c r="A202" s="11" t="s">
        <v>82</v>
      </c>
      <c r="B202" s="11" t="s">
        <v>715</v>
      </c>
      <c r="C202" s="11" t="s">
        <v>716</v>
      </c>
      <c r="D202" s="11" t="s">
        <v>133</v>
      </c>
      <c r="E202" s="11" t="s">
        <v>134</v>
      </c>
      <c r="F202" s="11" t="s">
        <v>135</v>
      </c>
      <c r="G202" s="11" t="s">
        <v>136</v>
      </c>
      <c r="I202" t="s">
        <v>716</v>
      </c>
      <c r="K202" t="s">
        <v>136</v>
      </c>
      <c r="L202" t="s">
        <v>133</v>
      </c>
      <c r="M202" t="s">
        <v>134</v>
      </c>
      <c r="N202" t="s">
        <v>2459</v>
      </c>
      <c r="O202" t="s">
        <v>2459</v>
      </c>
      <c r="Q202">
        <f t="shared" si="6"/>
        <v>1</v>
      </c>
      <c r="R202">
        <f t="shared" si="7"/>
        <v>1</v>
      </c>
    </row>
    <row r="203" spans="1:18" x14ac:dyDescent="0.35">
      <c r="A203" s="11" t="s">
        <v>82</v>
      </c>
      <c r="B203" s="11" t="s">
        <v>717</v>
      </c>
      <c r="C203" s="11" t="s">
        <v>718</v>
      </c>
      <c r="D203" s="11" t="s">
        <v>133</v>
      </c>
      <c r="E203" s="11" t="s">
        <v>134</v>
      </c>
      <c r="F203" s="11" t="s">
        <v>135</v>
      </c>
      <c r="G203" s="11" t="s">
        <v>136</v>
      </c>
      <c r="I203" t="s">
        <v>718</v>
      </c>
      <c r="K203" t="s">
        <v>136</v>
      </c>
      <c r="L203" t="s">
        <v>133</v>
      </c>
      <c r="M203" t="s">
        <v>134</v>
      </c>
      <c r="N203" t="s">
        <v>2459</v>
      </c>
      <c r="O203" t="s">
        <v>2459</v>
      </c>
      <c r="Q203">
        <f t="shared" si="6"/>
        <v>1</v>
      </c>
      <c r="R203">
        <f t="shared" si="7"/>
        <v>1</v>
      </c>
    </row>
    <row r="204" spans="1:18" x14ac:dyDescent="0.35">
      <c r="A204" s="11" t="s">
        <v>82</v>
      </c>
      <c r="B204" s="11" t="s">
        <v>719</v>
      </c>
      <c r="C204" s="11" t="s">
        <v>720</v>
      </c>
      <c r="D204" s="11" t="s">
        <v>133</v>
      </c>
      <c r="E204" s="11" t="s">
        <v>134</v>
      </c>
      <c r="F204" s="11" t="s">
        <v>135</v>
      </c>
      <c r="G204" s="11" t="s">
        <v>136</v>
      </c>
      <c r="I204" t="s">
        <v>720</v>
      </c>
      <c r="K204" t="s">
        <v>136</v>
      </c>
      <c r="L204" t="s">
        <v>133</v>
      </c>
      <c r="M204" t="s">
        <v>134</v>
      </c>
      <c r="N204" t="s">
        <v>2459</v>
      </c>
      <c r="O204" t="s">
        <v>2459</v>
      </c>
      <c r="Q204">
        <f t="shared" si="6"/>
        <v>1</v>
      </c>
      <c r="R204">
        <f t="shared" si="7"/>
        <v>1</v>
      </c>
    </row>
    <row r="205" spans="1:18" x14ac:dyDescent="0.35">
      <c r="A205" s="11" t="s">
        <v>82</v>
      </c>
      <c r="B205" s="11" t="s">
        <v>721</v>
      </c>
      <c r="C205" s="11" t="s">
        <v>722</v>
      </c>
      <c r="D205" s="11" t="s">
        <v>133</v>
      </c>
      <c r="E205" s="11" t="s">
        <v>134</v>
      </c>
      <c r="F205" s="11" t="s">
        <v>135</v>
      </c>
      <c r="G205" s="11" t="s">
        <v>136</v>
      </c>
      <c r="I205" t="s">
        <v>722</v>
      </c>
      <c r="K205" t="s">
        <v>136</v>
      </c>
      <c r="L205" t="s">
        <v>133</v>
      </c>
      <c r="M205" t="s">
        <v>134</v>
      </c>
      <c r="N205" t="s">
        <v>2459</v>
      </c>
      <c r="O205" t="s">
        <v>2459</v>
      </c>
      <c r="Q205">
        <f t="shared" si="6"/>
        <v>1</v>
      </c>
      <c r="R205">
        <f t="shared" si="7"/>
        <v>1</v>
      </c>
    </row>
    <row r="206" spans="1:18" x14ac:dyDescent="0.35">
      <c r="A206" s="11" t="s">
        <v>82</v>
      </c>
      <c r="B206" s="11" t="s">
        <v>723</v>
      </c>
      <c r="C206" s="11" t="s">
        <v>724</v>
      </c>
      <c r="D206" s="11" t="s">
        <v>133</v>
      </c>
      <c r="E206" s="11" t="s">
        <v>134</v>
      </c>
      <c r="F206" s="11" t="s">
        <v>135</v>
      </c>
      <c r="G206" s="11" t="s">
        <v>136</v>
      </c>
      <c r="I206" t="s">
        <v>724</v>
      </c>
      <c r="K206" t="s">
        <v>136</v>
      </c>
      <c r="L206" t="s">
        <v>133</v>
      </c>
      <c r="M206" t="s">
        <v>134</v>
      </c>
      <c r="N206" t="s">
        <v>2459</v>
      </c>
      <c r="O206" t="s">
        <v>2459</v>
      </c>
      <c r="Q206">
        <f t="shared" si="6"/>
        <v>1</v>
      </c>
      <c r="R206">
        <f t="shared" si="7"/>
        <v>1</v>
      </c>
    </row>
    <row r="207" spans="1:18" x14ac:dyDescent="0.35">
      <c r="A207" s="11" t="s">
        <v>82</v>
      </c>
      <c r="B207" s="11" t="s">
        <v>725</v>
      </c>
      <c r="C207" s="11" t="s">
        <v>726</v>
      </c>
      <c r="D207" s="11" t="s">
        <v>133</v>
      </c>
      <c r="E207" s="11" t="s">
        <v>134</v>
      </c>
      <c r="F207" s="11" t="s">
        <v>135</v>
      </c>
      <c r="G207" s="11" t="s">
        <v>136</v>
      </c>
      <c r="I207" t="s">
        <v>726</v>
      </c>
      <c r="K207" t="s">
        <v>136</v>
      </c>
      <c r="L207" t="s">
        <v>133</v>
      </c>
      <c r="M207" t="s">
        <v>134</v>
      </c>
      <c r="N207" t="s">
        <v>2459</v>
      </c>
      <c r="O207" t="s">
        <v>2459</v>
      </c>
      <c r="Q207">
        <f t="shared" si="6"/>
        <v>1</v>
      </c>
      <c r="R207">
        <f t="shared" si="7"/>
        <v>1</v>
      </c>
    </row>
    <row r="208" spans="1:18" x14ac:dyDescent="0.35">
      <c r="A208" s="11" t="s">
        <v>82</v>
      </c>
      <c r="B208" s="11" t="s">
        <v>727</v>
      </c>
      <c r="C208" s="11" t="s">
        <v>728</v>
      </c>
      <c r="D208" s="11" t="s">
        <v>133</v>
      </c>
      <c r="E208" s="11" t="s">
        <v>134</v>
      </c>
      <c r="F208" s="11" t="s">
        <v>135</v>
      </c>
      <c r="G208" s="11" t="s">
        <v>136</v>
      </c>
      <c r="I208" t="s">
        <v>728</v>
      </c>
      <c r="K208" t="s">
        <v>136</v>
      </c>
      <c r="L208" t="s">
        <v>133</v>
      </c>
      <c r="M208" t="s">
        <v>134</v>
      </c>
      <c r="N208" t="s">
        <v>2459</v>
      </c>
      <c r="O208" t="s">
        <v>2459</v>
      </c>
      <c r="Q208">
        <f t="shared" si="6"/>
        <v>1</v>
      </c>
      <c r="R208">
        <f t="shared" si="7"/>
        <v>1</v>
      </c>
    </row>
    <row r="209" spans="1:18" x14ac:dyDescent="0.35">
      <c r="A209" s="11" t="s">
        <v>82</v>
      </c>
      <c r="B209" s="11" t="s">
        <v>729</v>
      </c>
      <c r="C209" s="11" t="s">
        <v>730</v>
      </c>
      <c r="D209" s="11" t="s">
        <v>133</v>
      </c>
      <c r="E209" s="11" t="s">
        <v>134</v>
      </c>
      <c r="F209" s="11" t="s">
        <v>135</v>
      </c>
      <c r="G209" s="11" t="s">
        <v>136</v>
      </c>
      <c r="I209" t="s">
        <v>730</v>
      </c>
      <c r="K209" t="s">
        <v>136</v>
      </c>
      <c r="L209" t="s">
        <v>133</v>
      </c>
      <c r="M209" t="s">
        <v>134</v>
      </c>
      <c r="N209" t="s">
        <v>2459</v>
      </c>
      <c r="O209" t="s">
        <v>2459</v>
      </c>
      <c r="Q209">
        <f t="shared" si="6"/>
        <v>1</v>
      </c>
      <c r="R209">
        <f t="shared" si="7"/>
        <v>1</v>
      </c>
    </row>
    <row r="210" spans="1:18" x14ac:dyDescent="0.35">
      <c r="A210" s="11" t="s">
        <v>82</v>
      </c>
      <c r="B210" s="11" t="s">
        <v>731</v>
      </c>
      <c r="C210" s="11" t="s">
        <v>732</v>
      </c>
      <c r="D210" s="11" t="s">
        <v>133</v>
      </c>
      <c r="E210" s="11" t="s">
        <v>134</v>
      </c>
      <c r="F210" s="11" t="s">
        <v>135</v>
      </c>
      <c r="G210" s="11" t="s">
        <v>136</v>
      </c>
      <c r="I210" t="s">
        <v>732</v>
      </c>
      <c r="K210" t="s">
        <v>136</v>
      </c>
      <c r="L210" t="s">
        <v>133</v>
      </c>
      <c r="M210" t="s">
        <v>134</v>
      </c>
      <c r="N210" t="s">
        <v>2459</v>
      </c>
      <c r="O210" t="s">
        <v>2459</v>
      </c>
      <c r="Q210">
        <f t="shared" si="6"/>
        <v>1</v>
      </c>
      <c r="R210">
        <f t="shared" si="7"/>
        <v>1</v>
      </c>
    </row>
    <row r="211" spans="1:18" x14ac:dyDescent="0.35">
      <c r="A211" s="11" t="s">
        <v>82</v>
      </c>
      <c r="B211" s="11" t="s">
        <v>733</v>
      </c>
      <c r="C211" s="11" t="s">
        <v>734</v>
      </c>
      <c r="D211" s="11" t="s">
        <v>133</v>
      </c>
      <c r="E211" s="11" t="s">
        <v>134</v>
      </c>
      <c r="F211" s="11" t="s">
        <v>135</v>
      </c>
      <c r="G211" s="11" t="s">
        <v>136</v>
      </c>
      <c r="I211" t="s">
        <v>734</v>
      </c>
      <c r="K211" t="s">
        <v>136</v>
      </c>
      <c r="L211" t="s">
        <v>133</v>
      </c>
      <c r="M211" t="s">
        <v>134</v>
      </c>
      <c r="N211" t="s">
        <v>2459</v>
      </c>
      <c r="O211" t="s">
        <v>2459</v>
      </c>
      <c r="Q211">
        <f t="shared" si="6"/>
        <v>1</v>
      </c>
      <c r="R211">
        <f t="shared" si="7"/>
        <v>1</v>
      </c>
    </row>
    <row r="212" spans="1:18" x14ac:dyDescent="0.35">
      <c r="A212" s="11" t="s">
        <v>82</v>
      </c>
      <c r="B212" s="11" t="s">
        <v>735</v>
      </c>
      <c r="C212" s="11" t="s">
        <v>736</v>
      </c>
      <c r="D212" s="11" t="s">
        <v>133</v>
      </c>
      <c r="E212" s="11" t="s">
        <v>134</v>
      </c>
      <c r="F212" s="11" t="s">
        <v>135</v>
      </c>
      <c r="G212" s="11" t="s">
        <v>136</v>
      </c>
      <c r="I212" t="s">
        <v>736</v>
      </c>
      <c r="K212" t="s">
        <v>136</v>
      </c>
      <c r="L212" t="s">
        <v>133</v>
      </c>
      <c r="M212" t="s">
        <v>134</v>
      </c>
      <c r="N212" t="s">
        <v>2459</v>
      </c>
      <c r="O212" t="s">
        <v>2459</v>
      </c>
      <c r="Q212">
        <f t="shared" si="6"/>
        <v>1</v>
      </c>
      <c r="R212">
        <f t="shared" si="7"/>
        <v>1</v>
      </c>
    </row>
    <row r="213" spans="1:18" x14ac:dyDescent="0.35">
      <c r="A213" s="11" t="s">
        <v>82</v>
      </c>
      <c r="B213" s="11" t="s">
        <v>737</v>
      </c>
      <c r="C213" s="11" t="s">
        <v>738</v>
      </c>
      <c r="D213" s="11" t="s">
        <v>133</v>
      </c>
      <c r="E213" s="11" t="s">
        <v>134</v>
      </c>
      <c r="F213" s="11" t="s">
        <v>135</v>
      </c>
      <c r="G213" s="11" t="s">
        <v>136</v>
      </c>
      <c r="I213" t="s">
        <v>738</v>
      </c>
      <c r="K213" t="s">
        <v>136</v>
      </c>
      <c r="L213" t="s">
        <v>133</v>
      </c>
      <c r="M213" t="s">
        <v>134</v>
      </c>
      <c r="N213" t="s">
        <v>2459</v>
      </c>
      <c r="O213" t="s">
        <v>2459</v>
      </c>
      <c r="Q213">
        <f t="shared" si="6"/>
        <v>1</v>
      </c>
      <c r="R213">
        <f t="shared" si="7"/>
        <v>1</v>
      </c>
    </row>
    <row r="214" spans="1:18" x14ac:dyDescent="0.35">
      <c r="A214" s="11" t="s">
        <v>82</v>
      </c>
      <c r="B214" s="11" t="s">
        <v>739</v>
      </c>
      <c r="C214" s="11" t="s">
        <v>136</v>
      </c>
      <c r="D214" s="11" t="s">
        <v>133</v>
      </c>
      <c r="E214" s="11" t="s">
        <v>134</v>
      </c>
      <c r="F214" s="11" t="s">
        <v>135</v>
      </c>
      <c r="G214" s="11" t="s">
        <v>136</v>
      </c>
      <c r="I214" t="s">
        <v>136</v>
      </c>
      <c r="K214" t="s">
        <v>136</v>
      </c>
      <c r="L214" t="s">
        <v>133</v>
      </c>
      <c r="M214" t="s">
        <v>134</v>
      </c>
      <c r="N214" t="s">
        <v>2459</v>
      </c>
      <c r="O214" t="s">
        <v>2459</v>
      </c>
      <c r="Q214">
        <f t="shared" si="6"/>
        <v>1</v>
      </c>
      <c r="R214">
        <f t="shared" si="7"/>
        <v>1</v>
      </c>
    </row>
    <row r="215" spans="1:18" x14ac:dyDescent="0.35">
      <c r="A215" s="11" t="s">
        <v>82</v>
      </c>
      <c r="B215" s="11" t="s">
        <v>740</v>
      </c>
      <c r="C215" s="11" t="s">
        <v>741</v>
      </c>
      <c r="D215" s="11" t="s">
        <v>133</v>
      </c>
      <c r="E215" s="11" t="s">
        <v>134</v>
      </c>
      <c r="F215" s="11" t="s">
        <v>135</v>
      </c>
      <c r="G215" s="11" t="s">
        <v>136</v>
      </c>
      <c r="I215" t="s">
        <v>741</v>
      </c>
      <c r="K215" t="s">
        <v>136</v>
      </c>
      <c r="L215" t="s">
        <v>133</v>
      </c>
      <c r="M215" t="s">
        <v>134</v>
      </c>
      <c r="N215" t="s">
        <v>2459</v>
      </c>
      <c r="O215" t="s">
        <v>2459</v>
      </c>
      <c r="Q215">
        <f t="shared" si="6"/>
        <v>1</v>
      </c>
      <c r="R215">
        <f t="shared" si="7"/>
        <v>1</v>
      </c>
    </row>
    <row r="216" spans="1:18" x14ac:dyDescent="0.35">
      <c r="A216" s="11" t="s">
        <v>82</v>
      </c>
      <c r="B216" s="11" t="s">
        <v>742</v>
      </c>
      <c r="C216" s="11" t="s">
        <v>743</v>
      </c>
      <c r="D216" s="11" t="s">
        <v>133</v>
      </c>
      <c r="E216" s="11" t="s">
        <v>134</v>
      </c>
      <c r="F216" s="11" t="s">
        <v>135</v>
      </c>
      <c r="G216" s="11" t="s">
        <v>136</v>
      </c>
      <c r="I216" t="s">
        <v>743</v>
      </c>
      <c r="K216" t="s">
        <v>136</v>
      </c>
      <c r="L216" t="s">
        <v>133</v>
      </c>
      <c r="M216" t="s">
        <v>134</v>
      </c>
      <c r="N216" t="s">
        <v>2459</v>
      </c>
      <c r="O216" t="s">
        <v>2459</v>
      </c>
      <c r="Q216">
        <f t="shared" si="6"/>
        <v>1</v>
      </c>
      <c r="R216">
        <f t="shared" si="7"/>
        <v>1</v>
      </c>
    </row>
    <row r="217" spans="1:18" x14ac:dyDescent="0.35">
      <c r="A217" s="11" t="s">
        <v>82</v>
      </c>
      <c r="B217" s="11" t="s">
        <v>744</v>
      </c>
      <c r="C217" s="11" t="s">
        <v>745</v>
      </c>
      <c r="D217" s="11" t="s">
        <v>133</v>
      </c>
      <c r="E217" s="11" t="s">
        <v>134</v>
      </c>
      <c r="F217" s="11" t="s">
        <v>135</v>
      </c>
      <c r="G217" s="11" t="s">
        <v>136</v>
      </c>
      <c r="I217" t="s">
        <v>745</v>
      </c>
      <c r="K217" t="s">
        <v>136</v>
      </c>
      <c r="L217" t="s">
        <v>133</v>
      </c>
      <c r="M217" t="s">
        <v>134</v>
      </c>
      <c r="N217" t="s">
        <v>2459</v>
      </c>
      <c r="O217" t="s">
        <v>2459</v>
      </c>
      <c r="Q217">
        <f t="shared" si="6"/>
        <v>1</v>
      </c>
      <c r="R217">
        <f t="shared" si="7"/>
        <v>1</v>
      </c>
    </row>
    <row r="218" spans="1:18" x14ac:dyDescent="0.35">
      <c r="A218" s="11" t="s">
        <v>82</v>
      </c>
      <c r="B218" s="11" t="s">
        <v>746</v>
      </c>
      <c r="C218" s="11" t="s">
        <v>747</v>
      </c>
      <c r="D218" s="11" t="s">
        <v>133</v>
      </c>
      <c r="E218" s="11" t="s">
        <v>134</v>
      </c>
      <c r="F218" s="11" t="s">
        <v>138</v>
      </c>
      <c r="G218" s="11" t="s">
        <v>139</v>
      </c>
      <c r="I218" t="s">
        <v>747</v>
      </c>
      <c r="K218" t="s">
        <v>139</v>
      </c>
      <c r="L218" t="s">
        <v>133</v>
      </c>
      <c r="M218" t="s">
        <v>134</v>
      </c>
      <c r="N218" t="s">
        <v>2459</v>
      </c>
      <c r="O218" t="s">
        <v>2459</v>
      </c>
      <c r="Q218">
        <f t="shared" si="6"/>
        <v>1</v>
      </c>
      <c r="R218">
        <f t="shared" si="7"/>
        <v>1</v>
      </c>
    </row>
    <row r="219" spans="1:18" x14ac:dyDescent="0.35">
      <c r="A219" s="11" t="s">
        <v>82</v>
      </c>
      <c r="B219" s="11" t="s">
        <v>748</v>
      </c>
      <c r="C219" s="11" t="s">
        <v>749</v>
      </c>
      <c r="D219" s="11" t="s">
        <v>133</v>
      </c>
      <c r="E219" s="11" t="s">
        <v>134</v>
      </c>
      <c r="F219" s="11" t="s">
        <v>138</v>
      </c>
      <c r="G219" s="11" t="s">
        <v>139</v>
      </c>
      <c r="I219" t="s">
        <v>749</v>
      </c>
      <c r="K219" t="s">
        <v>139</v>
      </c>
      <c r="L219" t="s">
        <v>133</v>
      </c>
      <c r="M219" t="s">
        <v>134</v>
      </c>
      <c r="N219" t="s">
        <v>2459</v>
      </c>
      <c r="O219" t="s">
        <v>2459</v>
      </c>
      <c r="Q219">
        <f t="shared" si="6"/>
        <v>1</v>
      </c>
      <c r="R219">
        <f t="shared" si="7"/>
        <v>1</v>
      </c>
    </row>
    <row r="220" spans="1:18" x14ac:dyDescent="0.35">
      <c r="A220" s="11" t="s">
        <v>82</v>
      </c>
      <c r="B220" s="11" t="s">
        <v>750</v>
      </c>
      <c r="C220" s="11" t="s">
        <v>751</v>
      </c>
      <c r="D220" s="11" t="s">
        <v>133</v>
      </c>
      <c r="E220" s="11" t="s">
        <v>134</v>
      </c>
      <c r="F220" s="11" t="s">
        <v>138</v>
      </c>
      <c r="G220" s="11" t="s">
        <v>139</v>
      </c>
      <c r="I220" t="s">
        <v>751</v>
      </c>
      <c r="K220" t="s">
        <v>139</v>
      </c>
      <c r="L220" t="s">
        <v>133</v>
      </c>
      <c r="M220" t="s">
        <v>134</v>
      </c>
      <c r="N220" t="s">
        <v>2459</v>
      </c>
      <c r="O220" t="s">
        <v>2459</v>
      </c>
      <c r="Q220">
        <f t="shared" si="6"/>
        <v>1</v>
      </c>
      <c r="R220">
        <f t="shared" si="7"/>
        <v>1</v>
      </c>
    </row>
    <row r="221" spans="1:18" x14ac:dyDescent="0.35">
      <c r="A221" s="11" t="s">
        <v>82</v>
      </c>
      <c r="B221" s="11" t="s">
        <v>752</v>
      </c>
      <c r="C221" s="11" t="s">
        <v>753</v>
      </c>
      <c r="D221" s="11" t="s">
        <v>133</v>
      </c>
      <c r="E221" s="11" t="s">
        <v>134</v>
      </c>
      <c r="F221" s="11" t="s">
        <v>138</v>
      </c>
      <c r="G221" s="11" t="s">
        <v>139</v>
      </c>
      <c r="I221" t="s">
        <v>753</v>
      </c>
      <c r="K221" t="s">
        <v>139</v>
      </c>
      <c r="L221" t="s">
        <v>133</v>
      </c>
      <c r="M221" t="s">
        <v>134</v>
      </c>
      <c r="N221" t="s">
        <v>2459</v>
      </c>
      <c r="O221" t="s">
        <v>2459</v>
      </c>
      <c r="Q221">
        <f t="shared" si="6"/>
        <v>1</v>
      </c>
      <c r="R221">
        <f t="shared" si="7"/>
        <v>1</v>
      </c>
    </row>
    <row r="222" spans="1:18" x14ac:dyDescent="0.35">
      <c r="A222" s="11" t="s">
        <v>82</v>
      </c>
      <c r="B222" s="11" t="s">
        <v>754</v>
      </c>
      <c r="C222" s="11" t="s">
        <v>755</v>
      </c>
      <c r="D222" s="11" t="s">
        <v>133</v>
      </c>
      <c r="E222" s="11" t="s">
        <v>134</v>
      </c>
      <c r="F222" s="11" t="s">
        <v>138</v>
      </c>
      <c r="G222" s="11" t="s">
        <v>139</v>
      </c>
      <c r="I222" t="s">
        <v>755</v>
      </c>
      <c r="K222" t="s">
        <v>139</v>
      </c>
      <c r="L222" t="s">
        <v>133</v>
      </c>
      <c r="M222" t="s">
        <v>134</v>
      </c>
      <c r="N222" t="s">
        <v>2459</v>
      </c>
      <c r="O222" t="s">
        <v>2459</v>
      </c>
      <c r="Q222">
        <f t="shared" si="6"/>
        <v>1</v>
      </c>
      <c r="R222">
        <f t="shared" si="7"/>
        <v>1</v>
      </c>
    </row>
    <row r="223" spans="1:18" x14ac:dyDescent="0.35">
      <c r="A223" s="11" t="s">
        <v>82</v>
      </c>
      <c r="B223" s="11" t="s">
        <v>756</v>
      </c>
      <c r="C223" s="11" t="s">
        <v>757</v>
      </c>
      <c r="D223" s="11" t="s">
        <v>133</v>
      </c>
      <c r="E223" s="11" t="s">
        <v>134</v>
      </c>
      <c r="F223" s="11" t="s">
        <v>138</v>
      </c>
      <c r="G223" s="11" t="s">
        <v>139</v>
      </c>
      <c r="I223" t="s">
        <v>757</v>
      </c>
      <c r="K223" t="s">
        <v>139</v>
      </c>
      <c r="L223" t="s">
        <v>133</v>
      </c>
      <c r="M223" t="s">
        <v>134</v>
      </c>
      <c r="N223" t="s">
        <v>2459</v>
      </c>
      <c r="O223" t="s">
        <v>2459</v>
      </c>
      <c r="Q223">
        <f t="shared" si="6"/>
        <v>1</v>
      </c>
      <c r="R223">
        <f t="shared" si="7"/>
        <v>1</v>
      </c>
    </row>
    <row r="224" spans="1:18" x14ac:dyDescent="0.35">
      <c r="A224" s="11" t="s">
        <v>82</v>
      </c>
      <c r="B224" s="11" t="s">
        <v>758</v>
      </c>
      <c r="C224" s="11" t="s">
        <v>759</v>
      </c>
      <c r="D224" s="11" t="s">
        <v>133</v>
      </c>
      <c r="E224" s="11" t="s">
        <v>134</v>
      </c>
      <c r="F224" s="11" t="s">
        <v>138</v>
      </c>
      <c r="G224" s="11" t="s">
        <v>139</v>
      </c>
      <c r="I224" t="s">
        <v>759</v>
      </c>
      <c r="K224" t="s">
        <v>139</v>
      </c>
      <c r="L224" t="s">
        <v>133</v>
      </c>
      <c r="M224" t="s">
        <v>134</v>
      </c>
      <c r="N224" t="s">
        <v>2459</v>
      </c>
      <c r="O224" t="s">
        <v>2459</v>
      </c>
      <c r="Q224">
        <f t="shared" si="6"/>
        <v>1</v>
      </c>
      <c r="R224">
        <f t="shared" si="7"/>
        <v>1</v>
      </c>
    </row>
    <row r="225" spans="1:18" x14ac:dyDescent="0.35">
      <c r="A225" s="11" t="s">
        <v>82</v>
      </c>
      <c r="B225" s="11" t="s">
        <v>760</v>
      </c>
      <c r="C225" s="11" t="s">
        <v>761</v>
      </c>
      <c r="D225" s="11" t="s">
        <v>133</v>
      </c>
      <c r="E225" s="11" t="s">
        <v>134</v>
      </c>
      <c r="F225" s="11" t="s">
        <v>141</v>
      </c>
      <c r="G225" s="11" t="s">
        <v>142</v>
      </c>
      <c r="I225" t="s">
        <v>761</v>
      </c>
      <c r="K225" t="s">
        <v>142</v>
      </c>
      <c r="L225" t="s">
        <v>133</v>
      </c>
      <c r="M225" t="s">
        <v>134</v>
      </c>
      <c r="N225" t="s">
        <v>2459</v>
      </c>
      <c r="O225" t="s">
        <v>2459</v>
      </c>
      <c r="Q225">
        <f t="shared" si="6"/>
        <v>1</v>
      </c>
      <c r="R225">
        <f t="shared" si="7"/>
        <v>1</v>
      </c>
    </row>
    <row r="226" spans="1:18" x14ac:dyDescent="0.35">
      <c r="A226" s="11" t="s">
        <v>82</v>
      </c>
      <c r="B226" s="11" t="s">
        <v>762</v>
      </c>
      <c r="C226" s="11" t="s">
        <v>763</v>
      </c>
      <c r="D226" s="11" t="s">
        <v>133</v>
      </c>
      <c r="E226" s="11" t="s">
        <v>134</v>
      </c>
      <c r="F226" s="11" t="s">
        <v>141</v>
      </c>
      <c r="G226" s="11" t="s">
        <v>142</v>
      </c>
      <c r="I226" t="s">
        <v>763</v>
      </c>
      <c r="K226" t="s">
        <v>142</v>
      </c>
      <c r="L226" t="s">
        <v>133</v>
      </c>
      <c r="M226" t="s">
        <v>134</v>
      </c>
      <c r="N226" t="s">
        <v>2459</v>
      </c>
      <c r="O226" t="s">
        <v>2459</v>
      </c>
      <c r="Q226">
        <f t="shared" si="6"/>
        <v>1</v>
      </c>
      <c r="R226">
        <f t="shared" si="7"/>
        <v>1</v>
      </c>
    </row>
    <row r="227" spans="1:18" x14ac:dyDescent="0.35">
      <c r="A227" s="11" t="s">
        <v>82</v>
      </c>
      <c r="B227" s="11" t="s">
        <v>764</v>
      </c>
      <c r="C227" s="11" t="s">
        <v>765</v>
      </c>
      <c r="D227" s="11" t="s">
        <v>133</v>
      </c>
      <c r="E227" s="11" t="s">
        <v>134</v>
      </c>
      <c r="F227" s="11" t="s">
        <v>141</v>
      </c>
      <c r="G227" s="11" t="s">
        <v>142</v>
      </c>
      <c r="I227" t="s">
        <v>765</v>
      </c>
      <c r="K227" t="s">
        <v>142</v>
      </c>
      <c r="L227" t="s">
        <v>133</v>
      </c>
      <c r="M227" t="s">
        <v>134</v>
      </c>
      <c r="N227" t="s">
        <v>2459</v>
      </c>
      <c r="O227" t="s">
        <v>2459</v>
      </c>
      <c r="Q227">
        <f t="shared" si="6"/>
        <v>1</v>
      </c>
      <c r="R227">
        <f t="shared" si="7"/>
        <v>1</v>
      </c>
    </row>
    <row r="228" spans="1:18" x14ac:dyDescent="0.35">
      <c r="A228" s="11" t="s">
        <v>82</v>
      </c>
      <c r="B228" s="11" t="s">
        <v>766</v>
      </c>
      <c r="C228" s="11" t="s">
        <v>767</v>
      </c>
      <c r="D228" s="11" t="s">
        <v>133</v>
      </c>
      <c r="E228" s="11" t="s">
        <v>134</v>
      </c>
      <c r="F228" s="11" t="s">
        <v>141</v>
      </c>
      <c r="G228" s="11" t="s">
        <v>142</v>
      </c>
      <c r="I228" t="s">
        <v>767</v>
      </c>
      <c r="K228" t="s">
        <v>142</v>
      </c>
      <c r="L228" t="s">
        <v>133</v>
      </c>
      <c r="M228" t="s">
        <v>134</v>
      </c>
      <c r="N228" t="s">
        <v>2459</v>
      </c>
      <c r="O228" t="s">
        <v>2459</v>
      </c>
      <c r="Q228">
        <f t="shared" si="6"/>
        <v>1</v>
      </c>
      <c r="R228">
        <f t="shared" si="7"/>
        <v>1</v>
      </c>
    </row>
    <row r="229" spans="1:18" x14ac:dyDescent="0.35">
      <c r="A229" s="11" t="s">
        <v>82</v>
      </c>
      <c r="B229" s="11" t="s">
        <v>768</v>
      </c>
      <c r="C229" s="11" t="s">
        <v>142</v>
      </c>
      <c r="D229" s="11" t="s">
        <v>133</v>
      </c>
      <c r="E229" s="11" t="s">
        <v>134</v>
      </c>
      <c r="F229" s="11" t="s">
        <v>141</v>
      </c>
      <c r="G229" s="11" t="s">
        <v>142</v>
      </c>
      <c r="I229" t="s">
        <v>142</v>
      </c>
      <c r="K229" t="s">
        <v>142</v>
      </c>
      <c r="L229" t="s">
        <v>133</v>
      </c>
      <c r="M229" t="s">
        <v>134</v>
      </c>
      <c r="N229" t="s">
        <v>2459</v>
      </c>
      <c r="O229" t="s">
        <v>2459</v>
      </c>
      <c r="Q229">
        <f t="shared" si="6"/>
        <v>1</v>
      </c>
      <c r="R229">
        <f t="shared" si="7"/>
        <v>1</v>
      </c>
    </row>
    <row r="230" spans="1:18" x14ac:dyDescent="0.35">
      <c r="A230" s="11" t="s">
        <v>82</v>
      </c>
      <c r="B230" s="11" t="s">
        <v>769</v>
      </c>
      <c r="C230" s="11" t="s">
        <v>770</v>
      </c>
      <c r="D230" s="11" t="s">
        <v>144</v>
      </c>
      <c r="E230" s="11" t="s">
        <v>145</v>
      </c>
      <c r="F230" s="11" t="s">
        <v>146</v>
      </c>
      <c r="G230" s="11" t="s">
        <v>147</v>
      </c>
      <c r="I230" t="s">
        <v>770</v>
      </c>
      <c r="K230" t="s">
        <v>147</v>
      </c>
      <c r="L230" t="s">
        <v>83</v>
      </c>
      <c r="M230" t="s">
        <v>84</v>
      </c>
      <c r="N230" t="s">
        <v>2459</v>
      </c>
      <c r="O230" t="s">
        <v>2410</v>
      </c>
      <c r="Q230">
        <f t="shared" si="6"/>
        <v>1</v>
      </c>
      <c r="R230" t="e">
        <f t="shared" si="7"/>
        <v>#N/A</v>
      </c>
    </row>
    <row r="231" spans="1:18" x14ac:dyDescent="0.35">
      <c r="A231" s="11" t="s">
        <v>82</v>
      </c>
      <c r="B231" s="11" t="s">
        <v>771</v>
      </c>
      <c r="C231" s="11" t="s">
        <v>772</v>
      </c>
      <c r="D231" s="11" t="s">
        <v>144</v>
      </c>
      <c r="E231" s="11" t="s">
        <v>145</v>
      </c>
      <c r="F231" s="11" t="s">
        <v>146</v>
      </c>
      <c r="G231" s="11" t="s">
        <v>147</v>
      </c>
      <c r="I231" t="s">
        <v>772</v>
      </c>
      <c r="K231" t="s">
        <v>147</v>
      </c>
      <c r="L231" t="s">
        <v>83</v>
      </c>
      <c r="M231" t="s">
        <v>84</v>
      </c>
      <c r="N231" t="s">
        <v>2459</v>
      </c>
      <c r="O231" t="s">
        <v>2410</v>
      </c>
      <c r="Q231">
        <f t="shared" si="6"/>
        <v>1</v>
      </c>
      <c r="R231" t="e">
        <f t="shared" si="7"/>
        <v>#N/A</v>
      </c>
    </row>
    <row r="232" spans="1:18" x14ac:dyDescent="0.35">
      <c r="A232" s="11" t="s">
        <v>82</v>
      </c>
      <c r="B232" s="11" t="s">
        <v>773</v>
      </c>
      <c r="C232" s="11" t="s">
        <v>774</v>
      </c>
      <c r="D232" s="11" t="s">
        <v>144</v>
      </c>
      <c r="E232" s="11" t="s">
        <v>145</v>
      </c>
      <c r="F232" s="11" t="s">
        <v>146</v>
      </c>
      <c r="G232" s="11" t="s">
        <v>147</v>
      </c>
      <c r="I232" t="s">
        <v>774</v>
      </c>
      <c r="K232" t="s">
        <v>147</v>
      </c>
      <c r="L232" t="s">
        <v>83</v>
      </c>
      <c r="M232" t="s">
        <v>84</v>
      </c>
      <c r="N232" t="s">
        <v>2459</v>
      </c>
      <c r="O232" t="s">
        <v>2410</v>
      </c>
      <c r="Q232">
        <f t="shared" si="6"/>
        <v>1</v>
      </c>
      <c r="R232" t="e">
        <f t="shared" si="7"/>
        <v>#N/A</v>
      </c>
    </row>
    <row r="233" spans="1:18" x14ac:dyDescent="0.35">
      <c r="A233" s="11" t="s">
        <v>82</v>
      </c>
      <c r="B233" s="11" t="s">
        <v>775</v>
      </c>
      <c r="C233" s="11" t="s">
        <v>776</v>
      </c>
      <c r="D233" s="11" t="s">
        <v>144</v>
      </c>
      <c r="E233" s="11" t="s">
        <v>145</v>
      </c>
      <c r="F233" s="11" t="s">
        <v>146</v>
      </c>
      <c r="G233" s="11" t="s">
        <v>147</v>
      </c>
      <c r="I233" t="s">
        <v>776</v>
      </c>
      <c r="K233" t="s">
        <v>147</v>
      </c>
      <c r="L233" t="s">
        <v>83</v>
      </c>
      <c r="M233" t="s">
        <v>84</v>
      </c>
      <c r="N233" t="s">
        <v>2459</v>
      </c>
      <c r="O233" t="s">
        <v>2410</v>
      </c>
      <c r="Q233">
        <f t="shared" si="6"/>
        <v>1</v>
      </c>
      <c r="R233" t="e">
        <f t="shared" si="7"/>
        <v>#N/A</v>
      </c>
    </row>
    <row r="234" spans="1:18" x14ac:dyDescent="0.35">
      <c r="A234" s="11" t="s">
        <v>82</v>
      </c>
      <c r="B234" s="11" t="s">
        <v>777</v>
      </c>
      <c r="C234" s="11" t="s">
        <v>778</v>
      </c>
      <c r="D234" s="11" t="s">
        <v>144</v>
      </c>
      <c r="E234" s="11" t="s">
        <v>145</v>
      </c>
      <c r="F234" s="11" t="s">
        <v>146</v>
      </c>
      <c r="G234" s="11" t="s">
        <v>147</v>
      </c>
      <c r="I234" t="s">
        <v>778</v>
      </c>
      <c r="K234" t="s">
        <v>147</v>
      </c>
      <c r="L234" t="s">
        <v>83</v>
      </c>
      <c r="M234" t="s">
        <v>84</v>
      </c>
      <c r="N234" t="s">
        <v>2459</v>
      </c>
      <c r="O234" t="s">
        <v>2410</v>
      </c>
      <c r="Q234">
        <f t="shared" si="6"/>
        <v>1</v>
      </c>
      <c r="R234" t="e">
        <f t="shared" si="7"/>
        <v>#N/A</v>
      </c>
    </row>
    <row r="235" spans="1:18" x14ac:dyDescent="0.35">
      <c r="A235" s="11" t="s">
        <v>82</v>
      </c>
      <c r="B235" s="11" t="s">
        <v>779</v>
      </c>
      <c r="C235" s="11" t="s">
        <v>780</v>
      </c>
      <c r="D235" s="11" t="s">
        <v>144</v>
      </c>
      <c r="E235" s="11" t="s">
        <v>145</v>
      </c>
      <c r="F235" s="11" t="s">
        <v>146</v>
      </c>
      <c r="G235" s="11" t="s">
        <v>147</v>
      </c>
      <c r="I235" t="s">
        <v>780</v>
      </c>
      <c r="K235" t="s">
        <v>147</v>
      </c>
      <c r="L235" t="s">
        <v>83</v>
      </c>
      <c r="M235" t="s">
        <v>84</v>
      </c>
      <c r="N235" t="s">
        <v>2459</v>
      </c>
      <c r="O235" t="s">
        <v>2410</v>
      </c>
      <c r="Q235">
        <f t="shared" si="6"/>
        <v>1</v>
      </c>
      <c r="R235" t="e">
        <f t="shared" si="7"/>
        <v>#N/A</v>
      </c>
    </row>
    <row r="236" spans="1:18" x14ac:dyDescent="0.35">
      <c r="A236" s="11" t="s">
        <v>82</v>
      </c>
      <c r="B236" s="11" t="s">
        <v>781</v>
      </c>
      <c r="C236" s="11" t="s">
        <v>782</v>
      </c>
      <c r="D236" s="11" t="s">
        <v>144</v>
      </c>
      <c r="E236" s="11" t="s">
        <v>145</v>
      </c>
      <c r="F236" s="11" t="s">
        <v>146</v>
      </c>
      <c r="G236" s="11" t="s">
        <v>147</v>
      </c>
      <c r="I236" t="s">
        <v>782</v>
      </c>
      <c r="K236" t="s">
        <v>147</v>
      </c>
      <c r="L236" t="s">
        <v>83</v>
      </c>
      <c r="M236" t="s">
        <v>84</v>
      </c>
      <c r="N236" t="s">
        <v>2459</v>
      </c>
      <c r="O236" t="s">
        <v>2410</v>
      </c>
      <c r="Q236">
        <f t="shared" si="6"/>
        <v>1</v>
      </c>
      <c r="R236" t="e">
        <f t="shared" si="7"/>
        <v>#N/A</v>
      </c>
    </row>
    <row r="237" spans="1:18" x14ac:dyDescent="0.35">
      <c r="A237" s="11" t="s">
        <v>82</v>
      </c>
      <c r="B237" s="11" t="s">
        <v>783</v>
      </c>
      <c r="C237" s="11" t="s">
        <v>594</v>
      </c>
      <c r="D237" s="11" t="s">
        <v>144</v>
      </c>
      <c r="E237" s="11" t="s">
        <v>145</v>
      </c>
      <c r="F237" s="11" t="s">
        <v>146</v>
      </c>
      <c r="G237" s="11" t="s">
        <v>147</v>
      </c>
      <c r="I237" t="s">
        <v>594</v>
      </c>
      <c r="K237" t="s">
        <v>147</v>
      </c>
      <c r="L237" t="s">
        <v>83</v>
      </c>
      <c r="M237" t="s">
        <v>84</v>
      </c>
      <c r="N237" t="s">
        <v>2459</v>
      </c>
      <c r="O237" t="s">
        <v>2410</v>
      </c>
      <c r="Q237">
        <f t="shared" si="6"/>
        <v>1</v>
      </c>
      <c r="R237" t="e">
        <f t="shared" si="7"/>
        <v>#N/A</v>
      </c>
    </row>
    <row r="238" spans="1:18" x14ac:dyDescent="0.35">
      <c r="A238" s="11" t="s">
        <v>82</v>
      </c>
      <c r="B238" s="11" t="s">
        <v>784</v>
      </c>
      <c r="C238" s="11" t="s">
        <v>785</v>
      </c>
      <c r="D238" s="11" t="s">
        <v>144</v>
      </c>
      <c r="E238" s="11" t="s">
        <v>145</v>
      </c>
      <c r="F238" s="11" t="s">
        <v>146</v>
      </c>
      <c r="G238" s="11" t="s">
        <v>147</v>
      </c>
      <c r="I238" t="s">
        <v>785</v>
      </c>
      <c r="K238" t="s">
        <v>64</v>
      </c>
      <c r="L238" t="s">
        <v>83</v>
      </c>
      <c r="M238" t="s">
        <v>84</v>
      </c>
      <c r="N238" t="s">
        <v>2410</v>
      </c>
      <c r="O238" t="s">
        <v>2410</v>
      </c>
      <c r="Q238" t="e">
        <f t="shared" si="6"/>
        <v>#N/A</v>
      </c>
      <c r="R238" t="e">
        <f t="shared" si="7"/>
        <v>#N/A</v>
      </c>
    </row>
    <row r="239" spans="1:18" x14ac:dyDescent="0.35">
      <c r="A239" s="11" t="s">
        <v>82</v>
      </c>
      <c r="B239" s="11" t="s">
        <v>786</v>
      </c>
      <c r="C239" s="11" t="s">
        <v>787</v>
      </c>
      <c r="D239" s="11" t="s">
        <v>144</v>
      </c>
      <c r="E239" s="11" t="s">
        <v>145</v>
      </c>
      <c r="F239" s="11" t="s">
        <v>146</v>
      </c>
      <c r="G239" s="11" t="s">
        <v>147</v>
      </c>
      <c r="I239" t="s">
        <v>787</v>
      </c>
      <c r="K239" t="s">
        <v>64</v>
      </c>
      <c r="L239" t="s">
        <v>83</v>
      </c>
      <c r="M239" t="s">
        <v>84</v>
      </c>
      <c r="N239" t="s">
        <v>2410</v>
      </c>
      <c r="O239" t="s">
        <v>2410</v>
      </c>
      <c r="Q239" t="e">
        <f t="shared" si="6"/>
        <v>#N/A</v>
      </c>
      <c r="R239" t="e">
        <f t="shared" si="7"/>
        <v>#N/A</v>
      </c>
    </row>
    <row r="240" spans="1:18" x14ac:dyDescent="0.35">
      <c r="A240" s="11" t="s">
        <v>82</v>
      </c>
      <c r="B240" s="11" t="s">
        <v>788</v>
      </c>
      <c r="C240" s="11" t="s">
        <v>789</v>
      </c>
      <c r="D240" s="11" t="s">
        <v>144</v>
      </c>
      <c r="E240" s="11" t="s">
        <v>145</v>
      </c>
      <c r="F240" s="11" t="s">
        <v>146</v>
      </c>
      <c r="G240" s="11" t="s">
        <v>147</v>
      </c>
      <c r="I240" t="s">
        <v>789</v>
      </c>
      <c r="K240" t="s">
        <v>147</v>
      </c>
      <c r="L240" t="s">
        <v>83</v>
      </c>
      <c r="M240" t="s">
        <v>84</v>
      </c>
      <c r="N240" t="s">
        <v>2459</v>
      </c>
      <c r="O240" t="s">
        <v>2410</v>
      </c>
      <c r="Q240">
        <f t="shared" si="6"/>
        <v>1</v>
      </c>
      <c r="R240" t="e">
        <f t="shared" si="7"/>
        <v>#N/A</v>
      </c>
    </row>
    <row r="241" spans="1:18" x14ac:dyDescent="0.35">
      <c r="A241" s="11" t="s">
        <v>82</v>
      </c>
      <c r="B241" s="11" t="s">
        <v>790</v>
      </c>
      <c r="C241" s="11" t="s">
        <v>791</v>
      </c>
      <c r="D241" s="11" t="s">
        <v>144</v>
      </c>
      <c r="E241" s="11" t="s">
        <v>145</v>
      </c>
      <c r="F241" s="11" t="s">
        <v>146</v>
      </c>
      <c r="G241" s="11" t="s">
        <v>147</v>
      </c>
      <c r="I241" t="s">
        <v>791</v>
      </c>
      <c r="K241" t="s">
        <v>147</v>
      </c>
      <c r="L241" t="s">
        <v>83</v>
      </c>
      <c r="M241" t="s">
        <v>84</v>
      </c>
      <c r="N241" t="s">
        <v>2459</v>
      </c>
      <c r="O241" t="s">
        <v>2410</v>
      </c>
      <c r="Q241">
        <f t="shared" si="6"/>
        <v>1</v>
      </c>
      <c r="R241" t="e">
        <f t="shared" si="7"/>
        <v>#N/A</v>
      </c>
    </row>
    <row r="242" spans="1:18" x14ac:dyDescent="0.35">
      <c r="A242" s="11" t="s">
        <v>82</v>
      </c>
      <c r="B242" s="11" t="s">
        <v>792</v>
      </c>
      <c r="C242" s="11" t="s">
        <v>793</v>
      </c>
      <c r="D242" s="11" t="s">
        <v>144</v>
      </c>
      <c r="E242" s="11" t="s">
        <v>145</v>
      </c>
      <c r="F242" s="11" t="s">
        <v>146</v>
      </c>
      <c r="G242" s="11" t="s">
        <v>147</v>
      </c>
      <c r="I242" t="s">
        <v>793</v>
      </c>
      <c r="K242" t="s">
        <v>147</v>
      </c>
      <c r="L242" t="s">
        <v>83</v>
      </c>
      <c r="M242" t="s">
        <v>84</v>
      </c>
      <c r="N242" t="s">
        <v>2459</v>
      </c>
      <c r="O242" t="s">
        <v>2410</v>
      </c>
      <c r="Q242">
        <f t="shared" si="6"/>
        <v>1</v>
      </c>
      <c r="R242" t="e">
        <f t="shared" si="7"/>
        <v>#N/A</v>
      </c>
    </row>
    <row r="243" spans="1:18" x14ac:dyDescent="0.35">
      <c r="A243" s="11" t="s">
        <v>82</v>
      </c>
      <c r="B243" s="11" t="s">
        <v>794</v>
      </c>
      <c r="C243" s="11" t="s">
        <v>795</v>
      </c>
      <c r="D243" s="11" t="s">
        <v>144</v>
      </c>
      <c r="E243" s="11" t="s">
        <v>145</v>
      </c>
      <c r="F243" s="11" t="s">
        <v>146</v>
      </c>
      <c r="G243" s="11" t="s">
        <v>147</v>
      </c>
      <c r="I243" t="s">
        <v>795</v>
      </c>
      <c r="K243" t="s">
        <v>147</v>
      </c>
      <c r="L243" t="s">
        <v>83</v>
      </c>
      <c r="M243" t="s">
        <v>84</v>
      </c>
      <c r="N243" t="s">
        <v>2459</v>
      </c>
      <c r="O243" t="s">
        <v>2410</v>
      </c>
      <c r="Q243">
        <f t="shared" si="6"/>
        <v>1</v>
      </c>
      <c r="R243" t="e">
        <f t="shared" si="7"/>
        <v>#N/A</v>
      </c>
    </row>
    <row r="244" spans="1:18" x14ac:dyDescent="0.35">
      <c r="A244" s="11" t="s">
        <v>82</v>
      </c>
      <c r="B244" s="11" t="s">
        <v>796</v>
      </c>
      <c r="C244" s="11" t="s">
        <v>797</v>
      </c>
      <c r="D244" s="11" t="s">
        <v>144</v>
      </c>
      <c r="E244" s="11" t="s">
        <v>145</v>
      </c>
      <c r="F244" s="11" t="s">
        <v>146</v>
      </c>
      <c r="G244" s="11" t="s">
        <v>147</v>
      </c>
      <c r="I244" t="s">
        <v>797</v>
      </c>
      <c r="K244" t="s">
        <v>147</v>
      </c>
      <c r="L244" t="s">
        <v>83</v>
      </c>
      <c r="M244" t="s">
        <v>84</v>
      </c>
      <c r="N244" t="s">
        <v>2459</v>
      </c>
      <c r="O244" t="s">
        <v>2410</v>
      </c>
      <c r="Q244">
        <f t="shared" si="6"/>
        <v>1</v>
      </c>
      <c r="R244" t="e">
        <f t="shared" si="7"/>
        <v>#N/A</v>
      </c>
    </row>
    <row r="245" spans="1:18" x14ac:dyDescent="0.35">
      <c r="A245" s="11" t="s">
        <v>82</v>
      </c>
      <c r="B245" s="11" t="s">
        <v>798</v>
      </c>
      <c r="C245" s="11" t="s">
        <v>799</v>
      </c>
      <c r="D245" s="11" t="s">
        <v>144</v>
      </c>
      <c r="E245" s="11" t="s">
        <v>145</v>
      </c>
      <c r="F245" s="11" t="s">
        <v>146</v>
      </c>
      <c r="G245" s="11" t="s">
        <v>147</v>
      </c>
      <c r="I245" t="s">
        <v>799</v>
      </c>
      <c r="K245" t="s">
        <v>147</v>
      </c>
      <c r="L245" t="s">
        <v>83</v>
      </c>
      <c r="M245" t="s">
        <v>84</v>
      </c>
      <c r="N245" t="s">
        <v>2459</v>
      </c>
      <c r="O245" t="s">
        <v>2410</v>
      </c>
      <c r="Q245">
        <f t="shared" si="6"/>
        <v>1</v>
      </c>
      <c r="R245" t="e">
        <f t="shared" si="7"/>
        <v>#N/A</v>
      </c>
    </row>
    <row r="246" spans="1:18" x14ac:dyDescent="0.35">
      <c r="A246" s="11" t="s">
        <v>82</v>
      </c>
      <c r="B246" s="11" t="s">
        <v>800</v>
      </c>
      <c r="C246" s="11" t="s">
        <v>801</v>
      </c>
      <c r="D246" s="11" t="s">
        <v>144</v>
      </c>
      <c r="E246" s="11" t="s">
        <v>145</v>
      </c>
      <c r="F246" s="11" t="s">
        <v>146</v>
      </c>
      <c r="G246" s="11" t="s">
        <v>147</v>
      </c>
      <c r="I246" t="s">
        <v>801</v>
      </c>
      <c r="K246" t="s">
        <v>147</v>
      </c>
      <c r="L246" t="s">
        <v>83</v>
      </c>
      <c r="M246" t="s">
        <v>84</v>
      </c>
      <c r="N246" t="s">
        <v>2459</v>
      </c>
      <c r="O246" t="s">
        <v>2410</v>
      </c>
      <c r="Q246">
        <f t="shared" si="6"/>
        <v>1</v>
      </c>
      <c r="R246" t="e">
        <f t="shared" si="7"/>
        <v>#N/A</v>
      </c>
    </row>
    <row r="247" spans="1:18" x14ac:dyDescent="0.35">
      <c r="A247" s="11" t="s">
        <v>82</v>
      </c>
      <c r="B247" s="11" t="s">
        <v>802</v>
      </c>
      <c r="C247" s="11" t="s">
        <v>803</v>
      </c>
      <c r="D247" s="11" t="s">
        <v>144</v>
      </c>
      <c r="E247" s="11" t="s">
        <v>145</v>
      </c>
      <c r="F247" s="11" t="s">
        <v>146</v>
      </c>
      <c r="G247" s="11" t="s">
        <v>147</v>
      </c>
      <c r="I247" t="s">
        <v>803</v>
      </c>
      <c r="K247" t="s">
        <v>147</v>
      </c>
      <c r="L247" t="s">
        <v>83</v>
      </c>
      <c r="M247" t="s">
        <v>84</v>
      </c>
      <c r="N247" t="s">
        <v>2459</v>
      </c>
      <c r="O247" t="s">
        <v>2410</v>
      </c>
      <c r="Q247">
        <f t="shared" si="6"/>
        <v>1</v>
      </c>
      <c r="R247" t="e">
        <f t="shared" si="7"/>
        <v>#N/A</v>
      </c>
    </row>
    <row r="248" spans="1:18" x14ac:dyDescent="0.35">
      <c r="A248" s="11" t="s">
        <v>82</v>
      </c>
      <c r="B248" s="11" t="s">
        <v>804</v>
      </c>
      <c r="C248" s="11" t="s">
        <v>805</v>
      </c>
      <c r="D248" s="11" t="s">
        <v>144</v>
      </c>
      <c r="E248" s="11" t="s">
        <v>145</v>
      </c>
      <c r="F248" s="11" t="s">
        <v>146</v>
      </c>
      <c r="G248" s="11" t="s">
        <v>147</v>
      </c>
      <c r="I248" t="s">
        <v>805</v>
      </c>
      <c r="K248" t="s">
        <v>147</v>
      </c>
      <c r="L248" t="s">
        <v>83</v>
      </c>
      <c r="M248" t="s">
        <v>84</v>
      </c>
      <c r="N248" t="s">
        <v>2459</v>
      </c>
      <c r="O248" t="s">
        <v>2410</v>
      </c>
      <c r="Q248">
        <f t="shared" si="6"/>
        <v>1</v>
      </c>
      <c r="R248" t="e">
        <f t="shared" si="7"/>
        <v>#N/A</v>
      </c>
    </row>
    <row r="249" spans="1:18" x14ac:dyDescent="0.35">
      <c r="A249" s="11" t="s">
        <v>82</v>
      </c>
      <c r="B249" s="11" t="s">
        <v>806</v>
      </c>
      <c r="C249" s="11" t="s">
        <v>807</v>
      </c>
      <c r="D249" s="11" t="s">
        <v>144</v>
      </c>
      <c r="E249" s="11" t="s">
        <v>145</v>
      </c>
      <c r="F249" s="11" t="s">
        <v>146</v>
      </c>
      <c r="G249" s="11" t="s">
        <v>147</v>
      </c>
      <c r="I249" t="s">
        <v>807</v>
      </c>
      <c r="K249" t="s">
        <v>147</v>
      </c>
      <c r="L249" t="s">
        <v>83</v>
      </c>
      <c r="M249" t="s">
        <v>84</v>
      </c>
      <c r="N249" t="s">
        <v>2459</v>
      </c>
      <c r="O249" t="s">
        <v>2410</v>
      </c>
      <c r="Q249">
        <f t="shared" si="6"/>
        <v>1</v>
      </c>
      <c r="R249" t="e">
        <f t="shared" si="7"/>
        <v>#N/A</v>
      </c>
    </row>
    <row r="250" spans="1:18" x14ac:dyDescent="0.35">
      <c r="A250" s="11" t="s">
        <v>82</v>
      </c>
      <c r="B250" s="11" t="s">
        <v>808</v>
      </c>
      <c r="C250" s="11" t="s">
        <v>809</v>
      </c>
      <c r="D250" s="11" t="s">
        <v>144</v>
      </c>
      <c r="E250" s="11" t="s">
        <v>145</v>
      </c>
      <c r="F250" s="11" t="s">
        <v>146</v>
      </c>
      <c r="G250" s="11" t="s">
        <v>147</v>
      </c>
      <c r="I250" t="s">
        <v>809</v>
      </c>
      <c r="K250" t="s">
        <v>147</v>
      </c>
      <c r="L250" t="s">
        <v>83</v>
      </c>
      <c r="M250" t="s">
        <v>84</v>
      </c>
      <c r="N250" t="s">
        <v>2459</v>
      </c>
      <c r="O250" t="s">
        <v>2410</v>
      </c>
      <c r="Q250">
        <f t="shared" si="6"/>
        <v>1</v>
      </c>
      <c r="R250" t="e">
        <f t="shared" si="7"/>
        <v>#N/A</v>
      </c>
    </row>
    <row r="251" spans="1:18" x14ac:dyDescent="0.35">
      <c r="A251" s="11" t="s">
        <v>82</v>
      </c>
      <c r="B251" s="11" t="s">
        <v>810</v>
      </c>
      <c r="C251" s="11" t="s">
        <v>811</v>
      </c>
      <c r="D251" s="11" t="s">
        <v>144</v>
      </c>
      <c r="E251" s="11" t="s">
        <v>145</v>
      </c>
      <c r="F251" s="11" t="s">
        <v>146</v>
      </c>
      <c r="G251" s="11" t="s">
        <v>147</v>
      </c>
      <c r="I251" t="s">
        <v>811</v>
      </c>
      <c r="K251" t="s">
        <v>147</v>
      </c>
      <c r="L251" t="s">
        <v>83</v>
      </c>
      <c r="M251" t="s">
        <v>84</v>
      </c>
      <c r="N251" t="s">
        <v>2459</v>
      </c>
      <c r="O251" t="s">
        <v>2410</v>
      </c>
      <c r="Q251">
        <f t="shared" si="6"/>
        <v>1</v>
      </c>
      <c r="R251" t="e">
        <f t="shared" si="7"/>
        <v>#N/A</v>
      </c>
    </row>
    <row r="252" spans="1:18" x14ac:dyDescent="0.35">
      <c r="A252" s="11" t="s">
        <v>82</v>
      </c>
      <c r="B252" s="11" t="s">
        <v>812</v>
      </c>
      <c r="C252" s="11" t="s">
        <v>150</v>
      </c>
      <c r="D252" s="11" t="s">
        <v>144</v>
      </c>
      <c r="E252" s="11" t="s">
        <v>145</v>
      </c>
      <c r="F252" s="11" t="s">
        <v>149</v>
      </c>
      <c r="G252" s="11" t="s">
        <v>150</v>
      </c>
      <c r="I252" t="s">
        <v>150</v>
      </c>
      <c r="K252" t="s">
        <v>150</v>
      </c>
      <c r="L252" t="s">
        <v>144</v>
      </c>
      <c r="M252" t="s">
        <v>145</v>
      </c>
      <c r="N252" t="s">
        <v>2459</v>
      </c>
      <c r="O252" t="s">
        <v>2459</v>
      </c>
      <c r="Q252">
        <f t="shared" si="6"/>
        <v>1</v>
      </c>
      <c r="R252">
        <f t="shared" si="7"/>
        <v>1</v>
      </c>
    </row>
    <row r="253" spans="1:18" x14ac:dyDescent="0.35">
      <c r="A253" s="11" t="s">
        <v>82</v>
      </c>
      <c r="B253" s="11" t="s">
        <v>813</v>
      </c>
      <c r="C253" s="11" t="s">
        <v>814</v>
      </c>
      <c r="D253" s="11" t="s">
        <v>144</v>
      </c>
      <c r="E253" s="11" t="s">
        <v>145</v>
      </c>
      <c r="F253" s="11" t="s">
        <v>149</v>
      </c>
      <c r="G253" s="11" t="s">
        <v>150</v>
      </c>
      <c r="I253" t="s">
        <v>814</v>
      </c>
      <c r="K253" t="s">
        <v>150</v>
      </c>
      <c r="L253" t="s">
        <v>144</v>
      </c>
      <c r="M253" t="s">
        <v>145</v>
      </c>
      <c r="N253" t="s">
        <v>2459</v>
      </c>
      <c r="O253" t="s">
        <v>2459</v>
      </c>
      <c r="Q253">
        <f t="shared" si="6"/>
        <v>1</v>
      </c>
      <c r="R253">
        <f t="shared" si="7"/>
        <v>1</v>
      </c>
    </row>
    <row r="254" spans="1:18" x14ac:dyDescent="0.35">
      <c r="A254" s="11" t="s">
        <v>82</v>
      </c>
      <c r="B254" s="11" t="s">
        <v>815</v>
      </c>
      <c r="C254" s="11" t="s">
        <v>816</v>
      </c>
      <c r="D254" s="11" t="s">
        <v>144</v>
      </c>
      <c r="E254" s="11" t="s">
        <v>145</v>
      </c>
      <c r="F254" s="11" t="s">
        <v>149</v>
      </c>
      <c r="G254" s="11" t="s">
        <v>150</v>
      </c>
      <c r="I254" t="s">
        <v>816</v>
      </c>
      <c r="K254" t="s">
        <v>49</v>
      </c>
      <c r="L254" t="s">
        <v>144</v>
      </c>
      <c r="M254" t="s">
        <v>145</v>
      </c>
      <c r="N254" t="s">
        <v>2410</v>
      </c>
      <c r="O254" t="s">
        <v>2459</v>
      </c>
      <c r="Q254" t="e">
        <f t="shared" si="6"/>
        <v>#N/A</v>
      </c>
      <c r="R254">
        <f t="shared" si="7"/>
        <v>1</v>
      </c>
    </row>
    <row r="255" spans="1:18" x14ac:dyDescent="0.35">
      <c r="A255" s="11" t="s">
        <v>82</v>
      </c>
      <c r="B255" s="11" t="s">
        <v>817</v>
      </c>
      <c r="C255" s="11" t="s">
        <v>818</v>
      </c>
      <c r="D255" s="11" t="s">
        <v>144</v>
      </c>
      <c r="E255" s="11" t="s">
        <v>145</v>
      </c>
      <c r="F255" s="11" t="s">
        <v>149</v>
      </c>
      <c r="G255" s="11" t="s">
        <v>150</v>
      </c>
      <c r="I255" t="s">
        <v>818</v>
      </c>
      <c r="K255" t="s">
        <v>49</v>
      </c>
      <c r="L255" t="s">
        <v>144</v>
      </c>
      <c r="M255" t="s">
        <v>145</v>
      </c>
      <c r="N255" t="s">
        <v>2410</v>
      </c>
      <c r="O255" t="s">
        <v>2459</v>
      </c>
      <c r="Q255" t="e">
        <f t="shared" si="6"/>
        <v>#N/A</v>
      </c>
      <c r="R255">
        <f t="shared" si="7"/>
        <v>1</v>
      </c>
    </row>
    <row r="256" spans="1:18" x14ac:dyDescent="0.35">
      <c r="A256" s="11" t="s">
        <v>82</v>
      </c>
      <c r="B256" s="11" t="s">
        <v>819</v>
      </c>
      <c r="C256" s="11" t="s">
        <v>820</v>
      </c>
      <c r="D256" s="11" t="s">
        <v>144</v>
      </c>
      <c r="E256" s="11" t="s">
        <v>145</v>
      </c>
      <c r="F256" s="11" t="s">
        <v>149</v>
      </c>
      <c r="G256" s="11" t="s">
        <v>150</v>
      </c>
      <c r="I256" t="s">
        <v>820</v>
      </c>
      <c r="K256" t="s">
        <v>150</v>
      </c>
      <c r="L256" t="s">
        <v>144</v>
      </c>
      <c r="M256" t="s">
        <v>145</v>
      </c>
      <c r="N256" t="s">
        <v>2459</v>
      </c>
      <c r="O256" t="s">
        <v>2459</v>
      </c>
      <c r="Q256">
        <f t="shared" si="6"/>
        <v>1</v>
      </c>
      <c r="R256">
        <f t="shared" si="7"/>
        <v>1</v>
      </c>
    </row>
    <row r="257" spans="1:18" x14ac:dyDescent="0.35">
      <c r="A257" s="11" t="s">
        <v>82</v>
      </c>
      <c r="B257" s="11" t="s">
        <v>821</v>
      </c>
      <c r="C257" s="11" t="s">
        <v>822</v>
      </c>
      <c r="D257" s="11" t="s">
        <v>144</v>
      </c>
      <c r="E257" s="11" t="s">
        <v>145</v>
      </c>
      <c r="F257" s="11" t="s">
        <v>149</v>
      </c>
      <c r="G257" s="11" t="s">
        <v>150</v>
      </c>
      <c r="I257" t="s">
        <v>822</v>
      </c>
      <c r="K257" t="s">
        <v>150</v>
      </c>
      <c r="L257" t="s">
        <v>144</v>
      </c>
      <c r="M257" t="s">
        <v>145</v>
      </c>
      <c r="N257" t="s">
        <v>2459</v>
      </c>
      <c r="O257" t="s">
        <v>2459</v>
      </c>
      <c r="Q257">
        <f t="shared" si="6"/>
        <v>1</v>
      </c>
      <c r="R257">
        <f t="shared" si="7"/>
        <v>1</v>
      </c>
    </row>
    <row r="258" spans="1:18" x14ac:dyDescent="0.35">
      <c r="A258" s="11" t="s">
        <v>82</v>
      </c>
      <c r="B258" s="11" t="s">
        <v>823</v>
      </c>
      <c r="C258" s="11" t="s">
        <v>824</v>
      </c>
      <c r="D258" s="11" t="s">
        <v>144</v>
      </c>
      <c r="E258" s="11" t="s">
        <v>145</v>
      </c>
      <c r="F258" s="11" t="s">
        <v>149</v>
      </c>
      <c r="G258" s="11" t="s">
        <v>150</v>
      </c>
      <c r="I258" t="s">
        <v>824</v>
      </c>
      <c r="K258" t="s">
        <v>150</v>
      </c>
      <c r="L258" t="s">
        <v>144</v>
      </c>
      <c r="M258" t="s">
        <v>145</v>
      </c>
      <c r="N258" t="s">
        <v>2459</v>
      </c>
      <c r="O258" t="s">
        <v>2459</v>
      </c>
      <c r="Q258">
        <f t="shared" si="6"/>
        <v>1</v>
      </c>
      <c r="R258">
        <f t="shared" si="7"/>
        <v>1</v>
      </c>
    </row>
    <row r="259" spans="1:18" x14ac:dyDescent="0.35">
      <c r="A259" s="11" t="s">
        <v>82</v>
      </c>
      <c r="B259" s="11" t="s">
        <v>825</v>
      </c>
      <c r="C259" s="11" t="s">
        <v>826</v>
      </c>
      <c r="D259" s="11" t="s">
        <v>144</v>
      </c>
      <c r="E259" s="11" t="s">
        <v>145</v>
      </c>
      <c r="F259" s="11" t="s">
        <v>149</v>
      </c>
      <c r="G259" s="11" t="s">
        <v>150</v>
      </c>
      <c r="I259" t="s">
        <v>826</v>
      </c>
      <c r="K259" t="s">
        <v>150</v>
      </c>
      <c r="L259" t="s">
        <v>144</v>
      </c>
      <c r="M259" t="s">
        <v>145</v>
      </c>
      <c r="N259" t="s">
        <v>2459</v>
      </c>
      <c r="O259" t="s">
        <v>2459</v>
      </c>
      <c r="Q259">
        <f t="shared" ref="Q259:Q322" si="8">MATCH(G259,K259,0)</f>
        <v>1</v>
      </c>
      <c r="R259">
        <f t="shared" ref="R259:R322" si="9">MATCH(E259,M259,0)</f>
        <v>1</v>
      </c>
    </row>
    <row r="260" spans="1:18" x14ac:dyDescent="0.35">
      <c r="A260" s="11" t="s">
        <v>82</v>
      </c>
      <c r="B260" s="11" t="s">
        <v>827</v>
      </c>
      <c r="C260" s="11" t="s">
        <v>828</v>
      </c>
      <c r="D260" s="11" t="s">
        <v>144</v>
      </c>
      <c r="E260" s="11" t="s">
        <v>145</v>
      </c>
      <c r="F260" s="11" t="s">
        <v>149</v>
      </c>
      <c r="G260" s="11" t="s">
        <v>150</v>
      </c>
      <c r="I260" t="s">
        <v>828</v>
      </c>
      <c r="K260" t="s">
        <v>150</v>
      </c>
      <c r="L260" t="s">
        <v>144</v>
      </c>
      <c r="M260" t="s">
        <v>145</v>
      </c>
      <c r="N260" t="s">
        <v>2459</v>
      </c>
      <c r="O260" t="s">
        <v>2459</v>
      </c>
      <c r="Q260">
        <f t="shared" si="8"/>
        <v>1</v>
      </c>
      <c r="R260">
        <f t="shared" si="9"/>
        <v>1</v>
      </c>
    </row>
    <row r="261" spans="1:18" x14ac:dyDescent="0.35">
      <c r="A261" s="11" t="s">
        <v>82</v>
      </c>
      <c r="B261" s="11" t="s">
        <v>829</v>
      </c>
      <c r="C261" s="11" t="s">
        <v>830</v>
      </c>
      <c r="D261" s="11" t="s">
        <v>144</v>
      </c>
      <c r="E261" s="11" t="s">
        <v>145</v>
      </c>
      <c r="F261" s="11" t="s">
        <v>149</v>
      </c>
      <c r="G261" s="11" t="s">
        <v>150</v>
      </c>
      <c r="I261" t="s">
        <v>830</v>
      </c>
      <c r="K261" t="s">
        <v>150</v>
      </c>
      <c r="L261" t="s">
        <v>144</v>
      </c>
      <c r="M261" t="s">
        <v>145</v>
      </c>
      <c r="N261" t="s">
        <v>2459</v>
      </c>
      <c r="O261" t="s">
        <v>2459</v>
      </c>
      <c r="Q261">
        <f t="shared" si="8"/>
        <v>1</v>
      </c>
      <c r="R261">
        <f t="shared" si="9"/>
        <v>1</v>
      </c>
    </row>
    <row r="262" spans="1:18" x14ac:dyDescent="0.35">
      <c r="A262" s="11" t="s">
        <v>82</v>
      </c>
      <c r="B262" s="11" t="s">
        <v>831</v>
      </c>
      <c r="C262" s="11" t="s">
        <v>832</v>
      </c>
      <c r="D262" s="11" t="s">
        <v>144</v>
      </c>
      <c r="E262" s="11" t="s">
        <v>145</v>
      </c>
      <c r="F262" s="11" t="s">
        <v>149</v>
      </c>
      <c r="G262" s="11" t="s">
        <v>150</v>
      </c>
      <c r="I262" t="s">
        <v>832</v>
      </c>
      <c r="K262" t="s">
        <v>150</v>
      </c>
      <c r="L262" t="s">
        <v>144</v>
      </c>
      <c r="M262" t="s">
        <v>145</v>
      </c>
      <c r="N262" t="s">
        <v>2459</v>
      </c>
      <c r="O262" t="s">
        <v>2459</v>
      </c>
      <c r="Q262">
        <f t="shared" si="8"/>
        <v>1</v>
      </c>
      <c r="R262">
        <f t="shared" si="9"/>
        <v>1</v>
      </c>
    </row>
    <row r="263" spans="1:18" x14ac:dyDescent="0.35">
      <c r="A263" s="11" t="s">
        <v>82</v>
      </c>
      <c r="B263" s="11" t="s">
        <v>833</v>
      </c>
      <c r="C263" s="11" t="s">
        <v>834</v>
      </c>
      <c r="D263" s="11" t="s">
        <v>144</v>
      </c>
      <c r="E263" s="11" t="s">
        <v>145</v>
      </c>
      <c r="F263" s="11" t="s">
        <v>149</v>
      </c>
      <c r="G263" s="11" t="s">
        <v>150</v>
      </c>
      <c r="I263" t="s">
        <v>834</v>
      </c>
      <c r="K263" t="s">
        <v>150</v>
      </c>
      <c r="L263" t="s">
        <v>144</v>
      </c>
      <c r="M263" t="s">
        <v>145</v>
      </c>
      <c r="N263" t="s">
        <v>2459</v>
      </c>
      <c r="O263" t="s">
        <v>2459</v>
      </c>
      <c r="Q263">
        <f t="shared" si="8"/>
        <v>1</v>
      </c>
      <c r="R263">
        <f t="shared" si="9"/>
        <v>1</v>
      </c>
    </row>
    <row r="264" spans="1:18" x14ac:dyDescent="0.35">
      <c r="A264" s="11" t="s">
        <v>82</v>
      </c>
      <c r="B264" s="11" t="s">
        <v>835</v>
      </c>
      <c r="C264" s="11" t="s">
        <v>836</v>
      </c>
      <c r="D264" s="11" t="s">
        <v>144</v>
      </c>
      <c r="E264" s="11" t="s">
        <v>145</v>
      </c>
      <c r="F264" s="11" t="s">
        <v>149</v>
      </c>
      <c r="G264" s="11" t="s">
        <v>150</v>
      </c>
      <c r="I264" t="s">
        <v>836</v>
      </c>
      <c r="K264" t="s">
        <v>150</v>
      </c>
      <c r="L264" t="s">
        <v>144</v>
      </c>
      <c r="M264" t="s">
        <v>145</v>
      </c>
      <c r="N264" t="s">
        <v>2459</v>
      </c>
      <c r="O264" t="s">
        <v>2459</v>
      </c>
      <c r="Q264">
        <f t="shared" si="8"/>
        <v>1</v>
      </c>
      <c r="R264">
        <f t="shared" si="9"/>
        <v>1</v>
      </c>
    </row>
    <row r="265" spans="1:18" x14ac:dyDescent="0.35">
      <c r="A265" s="11" t="s">
        <v>82</v>
      </c>
      <c r="B265" s="11" t="s">
        <v>837</v>
      </c>
      <c r="C265" s="11" t="s">
        <v>838</v>
      </c>
      <c r="D265" s="11" t="s">
        <v>144</v>
      </c>
      <c r="E265" s="11" t="s">
        <v>145</v>
      </c>
      <c r="F265" s="11" t="s">
        <v>149</v>
      </c>
      <c r="G265" s="11" t="s">
        <v>150</v>
      </c>
      <c r="I265" t="s">
        <v>838</v>
      </c>
      <c r="K265" t="s">
        <v>150</v>
      </c>
      <c r="L265" t="s">
        <v>144</v>
      </c>
      <c r="M265" t="s">
        <v>145</v>
      </c>
      <c r="N265" t="s">
        <v>2459</v>
      </c>
      <c r="O265" t="s">
        <v>2459</v>
      </c>
      <c r="Q265">
        <f t="shared" si="8"/>
        <v>1</v>
      </c>
      <c r="R265">
        <f t="shared" si="9"/>
        <v>1</v>
      </c>
    </row>
    <row r="266" spans="1:18" x14ac:dyDescent="0.35">
      <c r="A266" s="11" t="s">
        <v>82</v>
      </c>
      <c r="B266" s="11" t="s">
        <v>839</v>
      </c>
      <c r="C266" s="11" t="s">
        <v>840</v>
      </c>
      <c r="D266" s="11" t="s">
        <v>144</v>
      </c>
      <c r="E266" s="11" t="s">
        <v>145</v>
      </c>
      <c r="F266" s="11" t="s">
        <v>149</v>
      </c>
      <c r="G266" s="11" t="s">
        <v>150</v>
      </c>
      <c r="I266" t="s">
        <v>840</v>
      </c>
      <c r="K266" t="s">
        <v>150</v>
      </c>
      <c r="L266" t="s">
        <v>144</v>
      </c>
      <c r="M266" t="s">
        <v>145</v>
      </c>
      <c r="N266" t="s">
        <v>2459</v>
      </c>
      <c r="O266" t="s">
        <v>2459</v>
      </c>
      <c r="Q266">
        <f t="shared" si="8"/>
        <v>1</v>
      </c>
      <c r="R266">
        <f t="shared" si="9"/>
        <v>1</v>
      </c>
    </row>
    <row r="267" spans="1:18" x14ac:dyDescent="0.35">
      <c r="A267" s="11" t="s">
        <v>82</v>
      </c>
      <c r="B267" s="11" t="s">
        <v>841</v>
      </c>
      <c r="C267" s="11" t="s">
        <v>842</v>
      </c>
      <c r="D267" s="11" t="s">
        <v>144</v>
      </c>
      <c r="E267" s="11" t="s">
        <v>145</v>
      </c>
      <c r="F267" s="11" t="s">
        <v>149</v>
      </c>
      <c r="G267" s="11" t="s">
        <v>150</v>
      </c>
      <c r="I267" t="s">
        <v>842</v>
      </c>
      <c r="K267" t="s">
        <v>150</v>
      </c>
      <c r="L267" t="s">
        <v>144</v>
      </c>
      <c r="M267" t="s">
        <v>145</v>
      </c>
      <c r="N267" t="s">
        <v>2459</v>
      </c>
      <c r="O267" t="s">
        <v>2459</v>
      </c>
      <c r="Q267">
        <f t="shared" si="8"/>
        <v>1</v>
      </c>
      <c r="R267">
        <f t="shared" si="9"/>
        <v>1</v>
      </c>
    </row>
    <row r="268" spans="1:18" x14ac:dyDescent="0.35">
      <c r="A268" s="11" t="s">
        <v>82</v>
      </c>
      <c r="B268" s="11" t="s">
        <v>843</v>
      </c>
      <c r="C268" s="11" t="s">
        <v>844</v>
      </c>
      <c r="D268" s="11" t="s">
        <v>144</v>
      </c>
      <c r="E268" s="11" t="s">
        <v>145</v>
      </c>
      <c r="F268" s="11" t="s">
        <v>149</v>
      </c>
      <c r="G268" s="11" t="s">
        <v>150</v>
      </c>
      <c r="I268" t="s">
        <v>844</v>
      </c>
      <c r="K268" t="s">
        <v>150</v>
      </c>
      <c r="L268" t="s">
        <v>144</v>
      </c>
      <c r="M268" t="s">
        <v>145</v>
      </c>
      <c r="N268" t="s">
        <v>2459</v>
      </c>
      <c r="O268" t="s">
        <v>2459</v>
      </c>
      <c r="Q268">
        <f t="shared" si="8"/>
        <v>1</v>
      </c>
      <c r="R268">
        <f t="shared" si="9"/>
        <v>1</v>
      </c>
    </row>
    <row r="269" spans="1:18" x14ac:dyDescent="0.35">
      <c r="A269" s="11" t="s">
        <v>82</v>
      </c>
      <c r="B269" s="11" t="s">
        <v>845</v>
      </c>
      <c r="C269" s="11" t="s">
        <v>846</v>
      </c>
      <c r="D269" s="11" t="s">
        <v>144</v>
      </c>
      <c r="E269" s="11" t="s">
        <v>145</v>
      </c>
      <c r="F269" s="11" t="s">
        <v>149</v>
      </c>
      <c r="G269" s="11" t="s">
        <v>150</v>
      </c>
      <c r="I269" t="s">
        <v>846</v>
      </c>
      <c r="K269" t="s">
        <v>150</v>
      </c>
      <c r="L269" t="s">
        <v>144</v>
      </c>
      <c r="M269" t="s">
        <v>145</v>
      </c>
      <c r="N269" t="s">
        <v>2459</v>
      </c>
      <c r="O269" t="s">
        <v>2459</v>
      </c>
      <c r="Q269">
        <f t="shared" si="8"/>
        <v>1</v>
      </c>
      <c r="R269">
        <f t="shared" si="9"/>
        <v>1</v>
      </c>
    </row>
    <row r="270" spans="1:18" x14ac:dyDescent="0.35">
      <c r="A270" s="11" t="s">
        <v>82</v>
      </c>
      <c r="B270" s="11" t="s">
        <v>847</v>
      </c>
      <c r="C270" s="11" t="s">
        <v>848</v>
      </c>
      <c r="D270" s="11" t="s">
        <v>144</v>
      </c>
      <c r="E270" s="11" t="s">
        <v>145</v>
      </c>
      <c r="F270" s="11" t="s">
        <v>149</v>
      </c>
      <c r="G270" s="11" t="s">
        <v>150</v>
      </c>
      <c r="I270" t="s">
        <v>848</v>
      </c>
      <c r="K270" t="s">
        <v>150</v>
      </c>
      <c r="L270" t="s">
        <v>144</v>
      </c>
      <c r="M270" t="s">
        <v>145</v>
      </c>
      <c r="N270" t="s">
        <v>2459</v>
      </c>
      <c r="O270" t="s">
        <v>2459</v>
      </c>
      <c r="Q270">
        <f t="shared" si="8"/>
        <v>1</v>
      </c>
      <c r="R270">
        <f t="shared" si="9"/>
        <v>1</v>
      </c>
    </row>
    <row r="271" spans="1:18" x14ac:dyDescent="0.35">
      <c r="A271" s="11" t="s">
        <v>82</v>
      </c>
      <c r="B271" s="11" t="s">
        <v>849</v>
      </c>
      <c r="C271" s="11" t="s">
        <v>850</v>
      </c>
      <c r="D271" s="11" t="s">
        <v>144</v>
      </c>
      <c r="E271" s="11" t="s">
        <v>145</v>
      </c>
      <c r="F271" s="11" t="s">
        <v>149</v>
      </c>
      <c r="G271" s="11" t="s">
        <v>150</v>
      </c>
      <c r="I271" t="s">
        <v>850</v>
      </c>
      <c r="K271" t="s">
        <v>150</v>
      </c>
      <c r="L271" t="s">
        <v>144</v>
      </c>
      <c r="M271" t="s">
        <v>145</v>
      </c>
      <c r="N271" t="s">
        <v>2459</v>
      </c>
      <c r="O271" t="s">
        <v>2459</v>
      </c>
      <c r="Q271">
        <f t="shared" si="8"/>
        <v>1</v>
      </c>
      <c r="R271">
        <f t="shared" si="9"/>
        <v>1</v>
      </c>
    </row>
    <row r="272" spans="1:18" x14ac:dyDescent="0.35">
      <c r="A272" s="11" t="s">
        <v>82</v>
      </c>
      <c r="B272" s="11" t="s">
        <v>851</v>
      </c>
      <c r="C272" s="11" t="s">
        <v>852</v>
      </c>
      <c r="D272" s="11" t="s">
        <v>144</v>
      </c>
      <c r="E272" s="11" t="s">
        <v>145</v>
      </c>
      <c r="F272" s="11" t="s">
        <v>149</v>
      </c>
      <c r="G272" s="11" t="s">
        <v>150</v>
      </c>
      <c r="I272" t="s">
        <v>852</v>
      </c>
      <c r="K272" t="s">
        <v>150</v>
      </c>
      <c r="L272" t="s">
        <v>144</v>
      </c>
      <c r="M272" t="s">
        <v>145</v>
      </c>
      <c r="N272" t="s">
        <v>2459</v>
      </c>
      <c r="O272" t="s">
        <v>2459</v>
      </c>
      <c r="Q272">
        <f t="shared" si="8"/>
        <v>1</v>
      </c>
      <c r="R272">
        <f t="shared" si="9"/>
        <v>1</v>
      </c>
    </row>
    <row r="273" spans="1:18" x14ac:dyDescent="0.35">
      <c r="A273" s="11" t="s">
        <v>82</v>
      </c>
      <c r="B273" s="11" t="s">
        <v>853</v>
      </c>
      <c r="C273" s="11" t="s">
        <v>854</v>
      </c>
      <c r="D273" s="11" t="s">
        <v>144</v>
      </c>
      <c r="E273" s="11" t="s">
        <v>145</v>
      </c>
      <c r="F273" s="11" t="s">
        <v>149</v>
      </c>
      <c r="G273" s="11" t="s">
        <v>150</v>
      </c>
      <c r="I273" t="s">
        <v>854</v>
      </c>
      <c r="K273" t="s">
        <v>150</v>
      </c>
      <c r="L273" t="s">
        <v>144</v>
      </c>
      <c r="M273" t="s">
        <v>145</v>
      </c>
      <c r="N273" t="s">
        <v>2459</v>
      </c>
      <c r="O273" t="s">
        <v>2459</v>
      </c>
      <c r="Q273">
        <f t="shared" si="8"/>
        <v>1</v>
      </c>
      <c r="R273">
        <f t="shared" si="9"/>
        <v>1</v>
      </c>
    </row>
    <row r="274" spans="1:18" x14ac:dyDescent="0.35">
      <c r="A274" s="11" t="s">
        <v>82</v>
      </c>
      <c r="B274" s="11" t="s">
        <v>855</v>
      </c>
      <c r="C274" s="11" t="s">
        <v>856</v>
      </c>
      <c r="D274" s="11" t="s">
        <v>144</v>
      </c>
      <c r="E274" s="11" t="s">
        <v>145</v>
      </c>
      <c r="F274" s="11" t="s">
        <v>149</v>
      </c>
      <c r="G274" s="11" t="s">
        <v>150</v>
      </c>
      <c r="I274" t="s">
        <v>856</v>
      </c>
      <c r="K274" t="s">
        <v>150</v>
      </c>
      <c r="L274" t="s">
        <v>144</v>
      </c>
      <c r="M274" t="s">
        <v>145</v>
      </c>
      <c r="N274" t="s">
        <v>2459</v>
      </c>
      <c r="O274" t="s">
        <v>2459</v>
      </c>
      <c r="Q274">
        <f t="shared" si="8"/>
        <v>1</v>
      </c>
      <c r="R274">
        <f t="shared" si="9"/>
        <v>1</v>
      </c>
    </row>
    <row r="275" spans="1:18" x14ac:dyDescent="0.35">
      <c r="A275" s="11" t="s">
        <v>82</v>
      </c>
      <c r="B275" s="11" t="s">
        <v>857</v>
      </c>
      <c r="C275" s="11" t="s">
        <v>858</v>
      </c>
      <c r="D275" s="11" t="s">
        <v>144</v>
      </c>
      <c r="E275" s="11" t="s">
        <v>145</v>
      </c>
      <c r="F275" s="11" t="s">
        <v>149</v>
      </c>
      <c r="G275" s="11" t="s">
        <v>150</v>
      </c>
      <c r="I275" t="s">
        <v>858</v>
      </c>
      <c r="K275" t="s">
        <v>150</v>
      </c>
      <c r="L275" t="s">
        <v>144</v>
      </c>
      <c r="M275" t="s">
        <v>145</v>
      </c>
      <c r="N275" t="s">
        <v>2459</v>
      </c>
      <c r="O275" t="s">
        <v>2459</v>
      </c>
      <c r="Q275">
        <f t="shared" si="8"/>
        <v>1</v>
      </c>
      <c r="R275">
        <f t="shared" si="9"/>
        <v>1</v>
      </c>
    </row>
    <row r="276" spans="1:18" x14ac:dyDescent="0.35">
      <c r="A276" s="11" t="s">
        <v>82</v>
      </c>
      <c r="B276" s="11" t="s">
        <v>859</v>
      </c>
      <c r="C276" s="11" t="s">
        <v>860</v>
      </c>
      <c r="D276" s="11" t="s">
        <v>144</v>
      </c>
      <c r="E276" s="11" t="s">
        <v>145</v>
      </c>
      <c r="F276" s="11" t="s">
        <v>149</v>
      </c>
      <c r="G276" s="11" t="s">
        <v>150</v>
      </c>
      <c r="I276" t="s">
        <v>860</v>
      </c>
      <c r="K276" t="s">
        <v>157</v>
      </c>
      <c r="L276" t="s">
        <v>154</v>
      </c>
      <c r="M276" t="s">
        <v>155</v>
      </c>
      <c r="N276" t="s">
        <v>2410</v>
      </c>
      <c r="O276" t="s">
        <v>2410</v>
      </c>
      <c r="Q276" t="e">
        <f t="shared" si="8"/>
        <v>#N/A</v>
      </c>
      <c r="R276" t="e">
        <f t="shared" si="9"/>
        <v>#N/A</v>
      </c>
    </row>
    <row r="277" spans="1:18" x14ac:dyDescent="0.35">
      <c r="A277" s="11" t="s">
        <v>82</v>
      </c>
      <c r="B277" s="11" t="s">
        <v>861</v>
      </c>
      <c r="C277" s="11" t="s">
        <v>862</v>
      </c>
      <c r="D277" s="11" t="s">
        <v>144</v>
      </c>
      <c r="E277" s="11" t="s">
        <v>145</v>
      </c>
      <c r="F277" s="11" t="s">
        <v>149</v>
      </c>
      <c r="G277" s="11" t="s">
        <v>150</v>
      </c>
      <c r="I277" t="s">
        <v>862</v>
      </c>
      <c r="K277" t="s">
        <v>150</v>
      </c>
      <c r="L277" t="s">
        <v>144</v>
      </c>
      <c r="M277" t="s">
        <v>145</v>
      </c>
      <c r="N277" t="s">
        <v>2459</v>
      </c>
      <c r="O277" t="s">
        <v>2459</v>
      </c>
      <c r="Q277">
        <f t="shared" si="8"/>
        <v>1</v>
      </c>
      <c r="R277">
        <f t="shared" si="9"/>
        <v>1</v>
      </c>
    </row>
    <row r="278" spans="1:18" x14ac:dyDescent="0.35">
      <c r="A278" s="11" t="s">
        <v>82</v>
      </c>
      <c r="B278" s="11" t="s">
        <v>863</v>
      </c>
      <c r="C278" s="11" t="s">
        <v>864</v>
      </c>
      <c r="D278" s="11" t="s">
        <v>144</v>
      </c>
      <c r="E278" s="11" t="s">
        <v>145</v>
      </c>
      <c r="F278" s="11" t="s">
        <v>149</v>
      </c>
      <c r="G278" s="11" t="s">
        <v>150</v>
      </c>
      <c r="I278" t="s">
        <v>864</v>
      </c>
      <c r="K278" t="s">
        <v>150</v>
      </c>
      <c r="L278" t="s">
        <v>144</v>
      </c>
      <c r="M278" t="s">
        <v>145</v>
      </c>
      <c r="N278" t="s">
        <v>2459</v>
      </c>
      <c r="O278" t="s">
        <v>2459</v>
      </c>
      <c r="Q278">
        <f t="shared" si="8"/>
        <v>1</v>
      </c>
      <c r="R278">
        <f t="shared" si="9"/>
        <v>1</v>
      </c>
    </row>
    <row r="279" spans="1:18" x14ac:dyDescent="0.35">
      <c r="A279" s="11" t="s">
        <v>82</v>
      </c>
      <c r="B279" s="11" t="s">
        <v>865</v>
      </c>
      <c r="C279" s="11" t="s">
        <v>866</v>
      </c>
      <c r="D279" s="11" t="s">
        <v>144</v>
      </c>
      <c r="E279" s="11" t="s">
        <v>145</v>
      </c>
      <c r="F279" s="11" t="s">
        <v>149</v>
      </c>
      <c r="G279" s="11" t="s">
        <v>150</v>
      </c>
      <c r="I279" t="s">
        <v>866</v>
      </c>
      <c r="K279" t="s">
        <v>157</v>
      </c>
      <c r="L279" t="s">
        <v>154</v>
      </c>
      <c r="M279" t="s">
        <v>155</v>
      </c>
      <c r="N279" t="s">
        <v>2410</v>
      </c>
      <c r="O279" t="s">
        <v>2410</v>
      </c>
      <c r="Q279" t="e">
        <f t="shared" si="8"/>
        <v>#N/A</v>
      </c>
      <c r="R279" t="e">
        <f t="shared" si="9"/>
        <v>#N/A</v>
      </c>
    </row>
    <row r="280" spans="1:18" x14ac:dyDescent="0.35">
      <c r="A280" s="11" t="s">
        <v>82</v>
      </c>
      <c r="B280" s="11" t="s">
        <v>867</v>
      </c>
      <c r="C280" s="11" t="s">
        <v>868</v>
      </c>
      <c r="D280" s="11" t="s">
        <v>144</v>
      </c>
      <c r="E280" s="11" t="s">
        <v>145</v>
      </c>
      <c r="F280" s="11" t="s">
        <v>149</v>
      </c>
      <c r="G280" s="11" t="s">
        <v>150</v>
      </c>
      <c r="I280" t="s">
        <v>868</v>
      </c>
      <c r="K280" t="s">
        <v>150</v>
      </c>
      <c r="L280" t="s">
        <v>144</v>
      </c>
      <c r="M280" t="s">
        <v>145</v>
      </c>
      <c r="N280" t="s">
        <v>2459</v>
      </c>
      <c r="O280" t="s">
        <v>2459</v>
      </c>
      <c r="Q280">
        <f t="shared" si="8"/>
        <v>1</v>
      </c>
      <c r="R280">
        <f t="shared" si="9"/>
        <v>1</v>
      </c>
    </row>
    <row r="281" spans="1:18" x14ac:dyDescent="0.35">
      <c r="A281" s="11" t="s">
        <v>82</v>
      </c>
      <c r="B281" s="11" t="s">
        <v>869</v>
      </c>
      <c r="C281" s="11" t="s">
        <v>870</v>
      </c>
      <c r="D281" s="11" t="s">
        <v>144</v>
      </c>
      <c r="E281" s="11" t="s">
        <v>145</v>
      </c>
      <c r="F281" s="11" t="s">
        <v>149</v>
      </c>
      <c r="G281" s="11" t="s">
        <v>150</v>
      </c>
      <c r="I281" t="s">
        <v>870</v>
      </c>
      <c r="K281" t="s">
        <v>157</v>
      </c>
      <c r="L281" t="s">
        <v>154</v>
      </c>
      <c r="M281" t="s">
        <v>155</v>
      </c>
      <c r="N281" t="s">
        <v>2410</v>
      </c>
      <c r="O281" t="s">
        <v>2410</v>
      </c>
      <c r="Q281" t="e">
        <f t="shared" si="8"/>
        <v>#N/A</v>
      </c>
      <c r="R281" t="e">
        <f t="shared" si="9"/>
        <v>#N/A</v>
      </c>
    </row>
    <row r="282" spans="1:18" x14ac:dyDescent="0.35">
      <c r="A282" s="11" t="s">
        <v>82</v>
      </c>
      <c r="B282" s="11" t="s">
        <v>871</v>
      </c>
      <c r="C282" s="11" t="s">
        <v>872</v>
      </c>
      <c r="D282" s="11" t="s">
        <v>144</v>
      </c>
      <c r="E282" s="11" t="s">
        <v>145</v>
      </c>
      <c r="F282" s="11" t="s">
        <v>149</v>
      </c>
      <c r="G282" s="11" t="s">
        <v>150</v>
      </c>
      <c r="I282" t="s">
        <v>872</v>
      </c>
      <c r="K282" t="s">
        <v>150</v>
      </c>
      <c r="L282" t="s">
        <v>144</v>
      </c>
      <c r="M282" t="s">
        <v>145</v>
      </c>
      <c r="N282" t="s">
        <v>2459</v>
      </c>
      <c r="O282" t="s">
        <v>2459</v>
      </c>
      <c r="Q282">
        <f t="shared" si="8"/>
        <v>1</v>
      </c>
      <c r="R282">
        <f t="shared" si="9"/>
        <v>1</v>
      </c>
    </row>
    <row r="283" spans="1:18" x14ac:dyDescent="0.35">
      <c r="A283" s="11" t="s">
        <v>82</v>
      </c>
      <c r="B283" s="11" t="s">
        <v>873</v>
      </c>
      <c r="C283" s="11" t="s">
        <v>874</v>
      </c>
      <c r="D283" s="11" t="s">
        <v>144</v>
      </c>
      <c r="E283" s="11" t="s">
        <v>145</v>
      </c>
      <c r="F283" s="11" t="s">
        <v>149</v>
      </c>
      <c r="G283" s="11" t="s">
        <v>150</v>
      </c>
      <c r="I283" t="s">
        <v>874</v>
      </c>
      <c r="K283" t="s">
        <v>49</v>
      </c>
      <c r="L283" t="s">
        <v>144</v>
      </c>
      <c r="M283" t="s">
        <v>145</v>
      </c>
      <c r="N283" t="s">
        <v>2410</v>
      </c>
      <c r="O283" t="s">
        <v>2459</v>
      </c>
      <c r="Q283" t="e">
        <f t="shared" si="8"/>
        <v>#N/A</v>
      </c>
      <c r="R283">
        <f t="shared" si="9"/>
        <v>1</v>
      </c>
    </row>
    <row r="284" spans="1:18" x14ac:dyDescent="0.35">
      <c r="A284" s="11" t="s">
        <v>82</v>
      </c>
      <c r="B284" s="11" t="s">
        <v>875</v>
      </c>
      <c r="C284" s="11" t="s">
        <v>876</v>
      </c>
      <c r="D284" s="11" t="s">
        <v>144</v>
      </c>
      <c r="E284" s="11" t="s">
        <v>145</v>
      </c>
      <c r="F284" s="11" t="s">
        <v>152</v>
      </c>
      <c r="G284" s="11" t="s">
        <v>65</v>
      </c>
      <c r="I284" t="s">
        <v>876</v>
      </c>
      <c r="K284" t="s">
        <v>49</v>
      </c>
      <c r="L284" t="s">
        <v>144</v>
      </c>
      <c r="M284" t="s">
        <v>145</v>
      </c>
      <c r="N284" t="s">
        <v>2410</v>
      </c>
      <c r="O284" t="s">
        <v>2459</v>
      </c>
      <c r="Q284" t="e">
        <f t="shared" si="8"/>
        <v>#N/A</v>
      </c>
      <c r="R284">
        <f t="shared" si="9"/>
        <v>1</v>
      </c>
    </row>
    <row r="285" spans="1:18" x14ac:dyDescent="0.35">
      <c r="A285" s="11" t="s">
        <v>82</v>
      </c>
      <c r="B285" s="11" t="s">
        <v>877</v>
      </c>
      <c r="C285" s="11" t="s">
        <v>878</v>
      </c>
      <c r="D285" s="11" t="s">
        <v>144</v>
      </c>
      <c r="E285" s="11" t="s">
        <v>145</v>
      </c>
      <c r="F285" s="11" t="s">
        <v>152</v>
      </c>
      <c r="G285" s="11" t="s">
        <v>65</v>
      </c>
      <c r="I285" t="s">
        <v>878</v>
      </c>
      <c r="K285" t="s">
        <v>49</v>
      </c>
      <c r="L285" t="s">
        <v>144</v>
      </c>
      <c r="M285" t="s">
        <v>145</v>
      </c>
      <c r="N285" t="s">
        <v>2410</v>
      </c>
      <c r="O285" t="s">
        <v>2459</v>
      </c>
      <c r="Q285" t="e">
        <f t="shared" si="8"/>
        <v>#N/A</v>
      </c>
      <c r="R285">
        <f t="shared" si="9"/>
        <v>1</v>
      </c>
    </row>
    <row r="286" spans="1:18" x14ac:dyDescent="0.35">
      <c r="A286" s="11" t="s">
        <v>82</v>
      </c>
      <c r="B286" s="11" t="s">
        <v>879</v>
      </c>
      <c r="C286" s="11" t="s">
        <v>880</v>
      </c>
      <c r="D286" s="11" t="s">
        <v>144</v>
      </c>
      <c r="E286" s="11" t="s">
        <v>145</v>
      </c>
      <c r="F286" s="11" t="s">
        <v>152</v>
      </c>
      <c r="G286" s="11" t="s">
        <v>65</v>
      </c>
      <c r="I286" t="s">
        <v>880</v>
      </c>
      <c r="K286" t="s">
        <v>49</v>
      </c>
      <c r="L286" t="s">
        <v>144</v>
      </c>
      <c r="M286" t="s">
        <v>145</v>
      </c>
      <c r="N286" t="s">
        <v>2410</v>
      </c>
      <c r="O286" t="s">
        <v>2459</v>
      </c>
      <c r="Q286" t="e">
        <f t="shared" si="8"/>
        <v>#N/A</v>
      </c>
      <c r="R286">
        <f t="shared" si="9"/>
        <v>1</v>
      </c>
    </row>
    <row r="287" spans="1:18" x14ac:dyDescent="0.35">
      <c r="A287" s="11" t="s">
        <v>82</v>
      </c>
      <c r="B287" s="11" t="s">
        <v>881</v>
      </c>
      <c r="C287" s="11" t="s">
        <v>882</v>
      </c>
      <c r="D287" s="11" t="s">
        <v>144</v>
      </c>
      <c r="E287" s="11" t="s">
        <v>145</v>
      </c>
      <c r="F287" s="11" t="s">
        <v>152</v>
      </c>
      <c r="G287" s="11" t="s">
        <v>65</v>
      </c>
      <c r="I287" t="s">
        <v>882</v>
      </c>
      <c r="K287" t="s">
        <v>49</v>
      </c>
      <c r="L287" t="s">
        <v>144</v>
      </c>
      <c r="M287" t="s">
        <v>145</v>
      </c>
      <c r="N287" t="s">
        <v>2410</v>
      </c>
      <c r="O287" t="s">
        <v>2459</v>
      </c>
      <c r="Q287" t="e">
        <f t="shared" si="8"/>
        <v>#N/A</v>
      </c>
      <c r="R287">
        <f t="shared" si="9"/>
        <v>1</v>
      </c>
    </row>
    <row r="288" spans="1:18" x14ac:dyDescent="0.35">
      <c r="A288" s="11" t="s">
        <v>82</v>
      </c>
      <c r="B288" s="11" t="s">
        <v>883</v>
      </c>
      <c r="C288" s="11" t="s">
        <v>884</v>
      </c>
      <c r="D288" s="11" t="s">
        <v>144</v>
      </c>
      <c r="E288" s="11" t="s">
        <v>145</v>
      </c>
      <c r="F288" s="11" t="s">
        <v>152</v>
      </c>
      <c r="G288" s="11" t="s">
        <v>65</v>
      </c>
      <c r="I288" t="s">
        <v>884</v>
      </c>
      <c r="K288" t="s">
        <v>49</v>
      </c>
      <c r="L288" t="s">
        <v>144</v>
      </c>
      <c r="M288" t="s">
        <v>145</v>
      </c>
      <c r="N288" t="s">
        <v>2410</v>
      </c>
      <c r="O288" t="s">
        <v>2459</v>
      </c>
      <c r="Q288" t="e">
        <f t="shared" si="8"/>
        <v>#N/A</v>
      </c>
      <c r="R288">
        <f t="shared" si="9"/>
        <v>1</v>
      </c>
    </row>
    <row r="289" spans="1:18" x14ac:dyDescent="0.35">
      <c r="A289" s="11" t="s">
        <v>82</v>
      </c>
      <c r="B289" s="11" t="s">
        <v>885</v>
      </c>
      <c r="C289" s="11" t="s">
        <v>886</v>
      </c>
      <c r="D289" s="11" t="s">
        <v>144</v>
      </c>
      <c r="E289" s="11" t="s">
        <v>145</v>
      </c>
      <c r="F289" s="11" t="s">
        <v>152</v>
      </c>
      <c r="G289" s="11" t="s">
        <v>65</v>
      </c>
      <c r="I289" t="s">
        <v>886</v>
      </c>
      <c r="K289" t="s">
        <v>66</v>
      </c>
      <c r="L289" t="s">
        <v>144</v>
      </c>
      <c r="M289" t="s">
        <v>145</v>
      </c>
      <c r="N289" t="s">
        <v>2459</v>
      </c>
      <c r="O289" t="s">
        <v>2459</v>
      </c>
      <c r="P289" t="s">
        <v>2247</v>
      </c>
      <c r="Q289" t="e">
        <f t="shared" si="8"/>
        <v>#N/A</v>
      </c>
      <c r="R289">
        <f t="shared" si="9"/>
        <v>1</v>
      </c>
    </row>
    <row r="290" spans="1:18" x14ac:dyDescent="0.35">
      <c r="A290" s="11" t="s">
        <v>82</v>
      </c>
      <c r="B290" s="11" t="s">
        <v>887</v>
      </c>
      <c r="C290" s="11" t="s">
        <v>888</v>
      </c>
      <c r="D290" s="11" t="s">
        <v>144</v>
      </c>
      <c r="E290" s="11" t="s">
        <v>145</v>
      </c>
      <c r="F290" s="11" t="s">
        <v>152</v>
      </c>
      <c r="G290" s="11" t="s">
        <v>65</v>
      </c>
      <c r="I290" t="s">
        <v>888</v>
      </c>
      <c r="K290" t="s">
        <v>66</v>
      </c>
      <c r="L290" t="s">
        <v>144</v>
      </c>
      <c r="M290" t="s">
        <v>145</v>
      </c>
      <c r="N290" t="s">
        <v>2459</v>
      </c>
      <c r="O290" t="s">
        <v>2459</v>
      </c>
      <c r="P290" t="s">
        <v>2247</v>
      </c>
      <c r="Q290" t="e">
        <f t="shared" si="8"/>
        <v>#N/A</v>
      </c>
      <c r="R290">
        <f t="shared" si="9"/>
        <v>1</v>
      </c>
    </row>
    <row r="291" spans="1:18" x14ac:dyDescent="0.35">
      <c r="A291" s="11" t="s">
        <v>82</v>
      </c>
      <c r="B291" s="11" t="s">
        <v>889</v>
      </c>
      <c r="C291" s="11" t="s">
        <v>890</v>
      </c>
      <c r="D291" s="11" t="s">
        <v>144</v>
      </c>
      <c r="E291" s="11" t="s">
        <v>145</v>
      </c>
      <c r="F291" s="11" t="s">
        <v>152</v>
      </c>
      <c r="G291" s="11" t="s">
        <v>65</v>
      </c>
      <c r="I291" t="s">
        <v>890</v>
      </c>
      <c r="K291" t="s">
        <v>66</v>
      </c>
      <c r="L291" t="s">
        <v>144</v>
      </c>
      <c r="M291" t="s">
        <v>145</v>
      </c>
      <c r="N291" t="s">
        <v>2459</v>
      </c>
      <c r="O291" t="s">
        <v>2459</v>
      </c>
      <c r="P291" t="s">
        <v>2247</v>
      </c>
      <c r="Q291" t="e">
        <f t="shared" si="8"/>
        <v>#N/A</v>
      </c>
      <c r="R291">
        <f t="shared" si="9"/>
        <v>1</v>
      </c>
    </row>
    <row r="292" spans="1:18" x14ac:dyDescent="0.35">
      <c r="A292" s="11" t="s">
        <v>82</v>
      </c>
      <c r="B292" s="11" t="s">
        <v>891</v>
      </c>
      <c r="C292" s="11" t="s">
        <v>892</v>
      </c>
      <c r="D292" s="11" t="s">
        <v>144</v>
      </c>
      <c r="E292" s="11" t="s">
        <v>145</v>
      </c>
      <c r="F292" s="11" t="s">
        <v>152</v>
      </c>
      <c r="G292" s="11" t="s">
        <v>65</v>
      </c>
      <c r="I292" t="s">
        <v>892</v>
      </c>
      <c r="K292" t="s">
        <v>66</v>
      </c>
      <c r="L292" t="s">
        <v>144</v>
      </c>
      <c r="M292" t="s">
        <v>145</v>
      </c>
      <c r="N292" t="s">
        <v>2459</v>
      </c>
      <c r="O292" t="s">
        <v>2459</v>
      </c>
      <c r="P292" t="s">
        <v>2247</v>
      </c>
      <c r="Q292" t="e">
        <f t="shared" si="8"/>
        <v>#N/A</v>
      </c>
      <c r="R292">
        <f t="shared" si="9"/>
        <v>1</v>
      </c>
    </row>
    <row r="293" spans="1:18" x14ac:dyDescent="0.35">
      <c r="A293" s="11" t="s">
        <v>82</v>
      </c>
      <c r="B293" s="11" t="s">
        <v>893</v>
      </c>
      <c r="C293" s="11" t="s">
        <v>894</v>
      </c>
      <c r="D293" s="11" t="s">
        <v>144</v>
      </c>
      <c r="E293" s="11" t="s">
        <v>145</v>
      </c>
      <c r="F293" s="11" t="s">
        <v>152</v>
      </c>
      <c r="G293" s="11" t="s">
        <v>65</v>
      </c>
      <c r="I293" t="s">
        <v>894</v>
      </c>
      <c r="K293" t="s">
        <v>49</v>
      </c>
      <c r="L293" t="s">
        <v>144</v>
      </c>
      <c r="M293" t="s">
        <v>145</v>
      </c>
      <c r="N293" t="s">
        <v>2410</v>
      </c>
      <c r="O293" t="s">
        <v>2459</v>
      </c>
      <c r="Q293" t="e">
        <f t="shared" si="8"/>
        <v>#N/A</v>
      </c>
      <c r="R293">
        <f t="shared" si="9"/>
        <v>1</v>
      </c>
    </row>
    <row r="294" spans="1:18" x14ac:dyDescent="0.35">
      <c r="A294" s="11" t="s">
        <v>82</v>
      </c>
      <c r="B294" s="11" t="s">
        <v>895</v>
      </c>
      <c r="C294" s="11" t="s">
        <v>896</v>
      </c>
      <c r="D294" s="11" t="s">
        <v>144</v>
      </c>
      <c r="E294" s="11" t="s">
        <v>145</v>
      </c>
      <c r="F294" s="11" t="s">
        <v>152</v>
      </c>
      <c r="G294" s="11" t="s">
        <v>65</v>
      </c>
      <c r="I294" t="s">
        <v>896</v>
      </c>
      <c r="K294" t="s">
        <v>49</v>
      </c>
      <c r="L294" t="s">
        <v>144</v>
      </c>
      <c r="M294" t="s">
        <v>145</v>
      </c>
      <c r="N294" t="s">
        <v>2410</v>
      </c>
      <c r="O294" t="s">
        <v>2459</v>
      </c>
      <c r="Q294" t="e">
        <f t="shared" si="8"/>
        <v>#N/A</v>
      </c>
      <c r="R294">
        <f t="shared" si="9"/>
        <v>1</v>
      </c>
    </row>
    <row r="295" spans="1:18" x14ac:dyDescent="0.35">
      <c r="A295" s="11" t="s">
        <v>82</v>
      </c>
      <c r="B295" s="11" t="s">
        <v>897</v>
      </c>
      <c r="C295" s="11" t="s">
        <v>898</v>
      </c>
      <c r="D295" s="11" t="s">
        <v>144</v>
      </c>
      <c r="E295" s="11" t="s">
        <v>145</v>
      </c>
      <c r="F295" s="11" t="s">
        <v>152</v>
      </c>
      <c r="G295" s="11" t="s">
        <v>65</v>
      </c>
      <c r="I295" t="s">
        <v>898</v>
      </c>
      <c r="K295" t="s">
        <v>49</v>
      </c>
      <c r="L295" t="s">
        <v>144</v>
      </c>
      <c r="M295" t="s">
        <v>145</v>
      </c>
      <c r="N295" t="s">
        <v>2410</v>
      </c>
      <c r="O295" t="s">
        <v>2459</v>
      </c>
      <c r="Q295" t="e">
        <f t="shared" si="8"/>
        <v>#N/A</v>
      </c>
      <c r="R295">
        <f t="shared" si="9"/>
        <v>1</v>
      </c>
    </row>
    <row r="296" spans="1:18" x14ac:dyDescent="0.35">
      <c r="A296" s="11" t="s">
        <v>82</v>
      </c>
      <c r="B296" s="11" t="s">
        <v>899</v>
      </c>
      <c r="C296" s="11" t="s">
        <v>900</v>
      </c>
      <c r="D296" s="11" t="s">
        <v>144</v>
      </c>
      <c r="E296" s="11" t="s">
        <v>145</v>
      </c>
      <c r="F296" s="11" t="s">
        <v>152</v>
      </c>
      <c r="G296" s="11" t="s">
        <v>65</v>
      </c>
      <c r="I296" t="s">
        <v>900</v>
      </c>
      <c r="K296" t="s">
        <v>49</v>
      </c>
      <c r="L296" t="s">
        <v>144</v>
      </c>
      <c r="M296" t="s">
        <v>145</v>
      </c>
      <c r="N296" t="s">
        <v>2410</v>
      </c>
      <c r="O296" t="s">
        <v>2459</v>
      </c>
      <c r="Q296" t="e">
        <f t="shared" si="8"/>
        <v>#N/A</v>
      </c>
      <c r="R296">
        <f t="shared" si="9"/>
        <v>1</v>
      </c>
    </row>
    <row r="297" spans="1:18" x14ac:dyDescent="0.35">
      <c r="A297" s="11" t="s">
        <v>82</v>
      </c>
      <c r="B297" s="11" t="s">
        <v>901</v>
      </c>
      <c r="C297" s="11" t="s">
        <v>902</v>
      </c>
      <c r="D297" s="11" t="s">
        <v>144</v>
      </c>
      <c r="E297" s="11" t="s">
        <v>145</v>
      </c>
      <c r="F297" s="11" t="s">
        <v>152</v>
      </c>
      <c r="G297" s="11" t="s">
        <v>65</v>
      </c>
      <c r="I297" t="s">
        <v>902</v>
      </c>
      <c r="K297" t="s">
        <v>49</v>
      </c>
      <c r="L297" t="s">
        <v>144</v>
      </c>
      <c r="M297" t="s">
        <v>145</v>
      </c>
      <c r="N297" t="s">
        <v>2410</v>
      </c>
      <c r="O297" t="s">
        <v>2459</v>
      </c>
      <c r="Q297" t="e">
        <f t="shared" si="8"/>
        <v>#N/A</v>
      </c>
      <c r="R297">
        <f t="shared" si="9"/>
        <v>1</v>
      </c>
    </row>
    <row r="298" spans="1:18" x14ac:dyDescent="0.35">
      <c r="A298" s="11" t="s">
        <v>82</v>
      </c>
      <c r="B298" s="11" t="s">
        <v>903</v>
      </c>
      <c r="C298" s="11" t="s">
        <v>904</v>
      </c>
      <c r="D298" s="11" t="s">
        <v>144</v>
      </c>
      <c r="E298" s="11" t="s">
        <v>145</v>
      </c>
      <c r="F298" s="11" t="s">
        <v>152</v>
      </c>
      <c r="G298" s="11" t="s">
        <v>65</v>
      </c>
      <c r="I298" t="s">
        <v>904</v>
      </c>
      <c r="K298" t="s">
        <v>49</v>
      </c>
      <c r="L298" t="s">
        <v>144</v>
      </c>
      <c r="M298" t="s">
        <v>145</v>
      </c>
      <c r="N298" t="s">
        <v>2410</v>
      </c>
      <c r="O298" t="s">
        <v>2459</v>
      </c>
      <c r="Q298" t="e">
        <f t="shared" si="8"/>
        <v>#N/A</v>
      </c>
      <c r="R298">
        <f t="shared" si="9"/>
        <v>1</v>
      </c>
    </row>
    <row r="299" spans="1:18" x14ac:dyDescent="0.35">
      <c r="A299" s="11" t="s">
        <v>82</v>
      </c>
      <c r="B299" s="11" t="s">
        <v>905</v>
      </c>
      <c r="C299" s="11" t="s">
        <v>906</v>
      </c>
      <c r="D299" s="11" t="s">
        <v>144</v>
      </c>
      <c r="E299" s="11" t="s">
        <v>145</v>
      </c>
      <c r="F299" s="11" t="s">
        <v>152</v>
      </c>
      <c r="G299" s="11" t="s">
        <v>65</v>
      </c>
      <c r="I299" t="s">
        <v>906</v>
      </c>
      <c r="K299" t="s">
        <v>66</v>
      </c>
      <c r="L299" t="s">
        <v>144</v>
      </c>
      <c r="M299" t="s">
        <v>145</v>
      </c>
      <c r="N299" t="s">
        <v>2459</v>
      </c>
      <c r="O299" t="s">
        <v>2459</v>
      </c>
      <c r="P299" t="s">
        <v>2247</v>
      </c>
      <c r="Q299" t="e">
        <f t="shared" si="8"/>
        <v>#N/A</v>
      </c>
      <c r="R299">
        <f t="shared" si="9"/>
        <v>1</v>
      </c>
    </row>
    <row r="300" spans="1:18" x14ac:dyDescent="0.35">
      <c r="A300" s="11" t="s">
        <v>82</v>
      </c>
      <c r="B300" s="11" t="s">
        <v>907</v>
      </c>
      <c r="C300" s="11" t="s">
        <v>908</v>
      </c>
      <c r="D300" s="11" t="s">
        <v>144</v>
      </c>
      <c r="E300" s="11" t="s">
        <v>145</v>
      </c>
      <c r="F300" s="11" t="s">
        <v>152</v>
      </c>
      <c r="G300" s="11" t="s">
        <v>65</v>
      </c>
      <c r="I300" t="s">
        <v>908</v>
      </c>
      <c r="K300" t="s">
        <v>49</v>
      </c>
      <c r="L300" t="s">
        <v>144</v>
      </c>
      <c r="M300" t="s">
        <v>145</v>
      </c>
      <c r="N300" t="s">
        <v>2410</v>
      </c>
      <c r="O300" t="s">
        <v>2459</v>
      </c>
      <c r="Q300" t="e">
        <f t="shared" si="8"/>
        <v>#N/A</v>
      </c>
      <c r="R300">
        <f t="shared" si="9"/>
        <v>1</v>
      </c>
    </row>
    <row r="301" spans="1:18" x14ac:dyDescent="0.35">
      <c r="A301" s="11" t="s">
        <v>82</v>
      </c>
      <c r="B301" s="11" t="s">
        <v>909</v>
      </c>
      <c r="C301" s="11" t="s">
        <v>910</v>
      </c>
      <c r="D301" s="11" t="s">
        <v>144</v>
      </c>
      <c r="E301" s="11" t="s">
        <v>145</v>
      </c>
      <c r="F301" s="11" t="s">
        <v>152</v>
      </c>
      <c r="G301" s="11" t="s">
        <v>65</v>
      </c>
      <c r="I301" t="s">
        <v>910</v>
      </c>
      <c r="K301" t="s">
        <v>49</v>
      </c>
      <c r="L301" t="s">
        <v>144</v>
      </c>
      <c r="M301" t="s">
        <v>145</v>
      </c>
      <c r="N301" t="s">
        <v>2410</v>
      </c>
      <c r="O301" t="s">
        <v>2459</v>
      </c>
      <c r="Q301" t="e">
        <f t="shared" si="8"/>
        <v>#N/A</v>
      </c>
      <c r="R301">
        <f t="shared" si="9"/>
        <v>1</v>
      </c>
    </row>
    <row r="302" spans="1:18" x14ac:dyDescent="0.35">
      <c r="A302" s="11" t="s">
        <v>82</v>
      </c>
      <c r="B302" s="11" t="s">
        <v>911</v>
      </c>
      <c r="C302" s="11" t="s">
        <v>912</v>
      </c>
      <c r="D302" s="11" t="s">
        <v>144</v>
      </c>
      <c r="E302" s="11" t="s">
        <v>145</v>
      </c>
      <c r="F302" s="11" t="s">
        <v>152</v>
      </c>
      <c r="G302" s="11" t="s">
        <v>65</v>
      </c>
      <c r="I302" t="s">
        <v>912</v>
      </c>
      <c r="K302" t="s">
        <v>49</v>
      </c>
      <c r="L302" t="s">
        <v>144</v>
      </c>
      <c r="M302" t="s">
        <v>145</v>
      </c>
      <c r="N302" t="s">
        <v>2410</v>
      </c>
      <c r="O302" t="s">
        <v>2459</v>
      </c>
      <c r="Q302" t="e">
        <f t="shared" si="8"/>
        <v>#N/A</v>
      </c>
      <c r="R302">
        <f t="shared" si="9"/>
        <v>1</v>
      </c>
    </row>
    <row r="303" spans="1:18" x14ac:dyDescent="0.35">
      <c r="A303" s="11" t="s">
        <v>82</v>
      </c>
      <c r="B303" s="11" t="s">
        <v>913</v>
      </c>
      <c r="C303" s="11" t="s">
        <v>914</v>
      </c>
      <c r="D303" s="11" t="s">
        <v>144</v>
      </c>
      <c r="E303" s="11" t="s">
        <v>145</v>
      </c>
      <c r="F303" s="11" t="s">
        <v>152</v>
      </c>
      <c r="G303" s="11" t="s">
        <v>65</v>
      </c>
      <c r="I303" t="s">
        <v>914</v>
      </c>
      <c r="K303" t="s">
        <v>49</v>
      </c>
      <c r="L303" t="s">
        <v>144</v>
      </c>
      <c r="M303" t="s">
        <v>145</v>
      </c>
      <c r="N303" t="s">
        <v>2410</v>
      </c>
      <c r="O303" t="s">
        <v>2459</v>
      </c>
      <c r="Q303" t="e">
        <f t="shared" si="8"/>
        <v>#N/A</v>
      </c>
      <c r="R303">
        <f t="shared" si="9"/>
        <v>1</v>
      </c>
    </row>
    <row r="304" spans="1:18" x14ac:dyDescent="0.35">
      <c r="A304" s="11" t="s">
        <v>82</v>
      </c>
      <c r="B304" s="11" t="s">
        <v>915</v>
      </c>
      <c r="C304" s="11" t="s">
        <v>916</v>
      </c>
      <c r="D304" s="11" t="s">
        <v>144</v>
      </c>
      <c r="E304" s="11" t="s">
        <v>145</v>
      </c>
      <c r="F304" s="11" t="s">
        <v>152</v>
      </c>
      <c r="G304" s="11" t="s">
        <v>65</v>
      </c>
      <c r="I304" t="s">
        <v>916</v>
      </c>
      <c r="K304" t="s">
        <v>49</v>
      </c>
      <c r="L304" t="s">
        <v>144</v>
      </c>
      <c r="M304" t="s">
        <v>145</v>
      </c>
      <c r="N304" t="s">
        <v>2410</v>
      </c>
      <c r="O304" t="s">
        <v>2459</v>
      </c>
      <c r="Q304" t="e">
        <f t="shared" si="8"/>
        <v>#N/A</v>
      </c>
      <c r="R304">
        <f t="shared" si="9"/>
        <v>1</v>
      </c>
    </row>
    <row r="305" spans="1:18" x14ac:dyDescent="0.35">
      <c r="A305" s="11" t="s">
        <v>82</v>
      </c>
      <c r="B305" s="11" t="s">
        <v>917</v>
      </c>
      <c r="C305" s="11" t="s">
        <v>918</v>
      </c>
      <c r="D305" s="11" t="s">
        <v>144</v>
      </c>
      <c r="E305" s="11" t="s">
        <v>145</v>
      </c>
      <c r="F305" s="11" t="s">
        <v>152</v>
      </c>
      <c r="G305" s="11" t="s">
        <v>65</v>
      </c>
      <c r="I305" t="s">
        <v>918</v>
      </c>
      <c r="K305" t="s">
        <v>157</v>
      </c>
      <c r="L305" t="s">
        <v>154</v>
      </c>
      <c r="M305" t="s">
        <v>155</v>
      </c>
      <c r="N305" t="s">
        <v>2410</v>
      </c>
      <c r="O305" t="s">
        <v>2410</v>
      </c>
      <c r="Q305" t="e">
        <f t="shared" si="8"/>
        <v>#N/A</v>
      </c>
      <c r="R305" t="e">
        <f t="shared" si="9"/>
        <v>#N/A</v>
      </c>
    </row>
    <row r="306" spans="1:18" x14ac:dyDescent="0.35">
      <c r="A306" s="11" t="s">
        <v>82</v>
      </c>
      <c r="B306" s="11" t="s">
        <v>919</v>
      </c>
      <c r="C306" s="11" t="s">
        <v>920</v>
      </c>
      <c r="D306" s="11" t="s">
        <v>144</v>
      </c>
      <c r="E306" s="11" t="s">
        <v>145</v>
      </c>
      <c r="F306" s="11" t="s">
        <v>152</v>
      </c>
      <c r="G306" s="11" t="s">
        <v>65</v>
      </c>
      <c r="I306" t="s">
        <v>920</v>
      </c>
      <c r="K306" t="s">
        <v>157</v>
      </c>
      <c r="L306" t="s">
        <v>154</v>
      </c>
      <c r="M306" t="s">
        <v>155</v>
      </c>
      <c r="N306" t="s">
        <v>2410</v>
      </c>
      <c r="O306" t="s">
        <v>2410</v>
      </c>
      <c r="Q306" t="e">
        <f t="shared" si="8"/>
        <v>#N/A</v>
      </c>
      <c r="R306" t="e">
        <f t="shared" si="9"/>
        <v>#N/A</v>
      </c>
    </row>
    <row r="307" spans="1:18" x14ac:dyDescent="0.35">
      <c r="A307" s="11" t="s">
        <v>82</v>
      </c>
      <c r="B307" s="11" t="s">
        <v>921</v>
      </c>
      <c r="C307" s="11" t="s">
        <v>922</v>
      </c>
      <c r="D307" s="11" t="s">
        <v>144</v>
      </c>
      <c r="E307" s="11" t="s">
        <v>145</v>
      </c>
      <c r="F307" s="11" t="s">
        <v>152</v>
      </c>
      <c r="G307" s="11" t="s">
        <v>65</v>
      </c>
      <c r="I307" t="s">
        <v>922</v>
      </c>
      <c r="K307" t="s">
        <v>157</v>
      </c>
      <c r="L307" t="s">
        <v>154</v>
      </c>
      <c r="M307" t="s">
        <v>155</v>
      </c>
      <c r="N307" t="s">
        <v>2410</v>
      </c>
      <c r="O307" t="s">
        <v>2410</v>
      </c>
      <c r="Q307" t="e">
        <f t="shared" si="8"/>
        <v>#N/A</v>
      </c>
      <c r="R307" t="e">
        <f t="shared" si="9"/>
        <v>#N/A</v>
      </c>
    </row>
    <row r="308" spans="1:18" x14ac:dyDescent="0.35">
      <c r="A308" s="11" t="s">
        <v>82</v>
      </c>
      <c r="B308" s="11" t="s">
        <v>923</v>
      </c>
      <c r="C308" s="11" t="s">
        <v>924</v>
      </c>
      <c r="D308" s="11" t="s">
        <v>144</v>
      </c>
      <c r="E308" s="11" t="s">
        <v>145</v>
      </c>
      <c r="F308" s="11" t="s">
        <v>152</v>
      </c>
      <c r="G308" s="11" t="s">
        <v>65</v>
      </c>
      <c r="I308" t="s">
        <v>924</v>
      </c>
      <c r="K308" t="s">
        <v>157</v>
      </c>
      <c r="L308" t="s">
        <v>154</v>
      </c>
      <c r="M308" t="s">
        <v>155</v>
      </c>
      <c r="N308" t="s">
        <v>2410</v>
      </c>
      <c r="O308" t="s">
        <v>2410</v>
      </c>
      <c r="Q308" t="e">
        <f t="shared" si="8"/>
        <v>#N/A</v>
      </c>
      <c r="R308" t="e">
        <f t="shared" si="9"/>
        <v>#N/A</v>
      </c>
    </row>
    <row r="309" spans="1:18" x14ac:dyDescent="0.35">
      <c r="A309" s="11" t="s">
        <v>82</v>
      </c>
      <c r="B309" s="11" t="s">
        <v>925</v>
      </c>
      <c r="C309" s="11" t="s">
        <v>926</v>
      </c>
      <c r="D309" s="11" t="s">
        <v>144</v>
      </c>
      <c r="E309" s="11" t="s">
        <v>145</v>
      </c>
      <c r="F309" s="11" t="s">
        <v>152</v>
      </c>
      <c r="G309" s="11" t="s">
        <v>65</v>
      </c>
      <c r="I309" t="s">
        <v>926</v>
      </c>
      <c r="K309" t="s">
        <v>157</v>
      </c>
      <c r="L309" t="s">
        <v>154</v>
      </c>
      <c r="M309" t="s">
        <v>155</v>
      </c>
      <c r="N309" t="s">
        <v>2410</v>
      </c>
      <c r="O309" t="s">
        <v>2410</v>
      </c>
      <c r="Q309" t="e">
        <f t="shared" si="8"/>
        <v>#N/A</v>
      </c>
      <c r="R309" t="e">
        <f t="shared" si="9"/>
        <v>#N/A</v>
      </c>
    </row>
    <row r="310" spans="1:18" x14ac:dyDescent="0.35">
      <c r="A310" s="11" t="s">
        <v>82</v>
      </c>
      <c r="B310" s="11" t="s">
        <v>927</v>
      </c>
      <c r="C310" s="11" t="s">
        <v>928</v>
      </c>
      <c r="D310" s="11" t="s">
        <v>144</v>
      </c>
      <c r="E310" s="11" t="s">
        <v>145</v>
      </c>
      <c r="F310" s="11" t="s">
        <v>152</v>
      </c>
      <c r="G310" s="11" t="s">
        <v>65</v>
      </c>
      <c r="I310" t="s">
        <v>928</v>
      </c>
      <c r="K310" t="s">
        <v>66</v>
      </c>
      <c r="L310" t="s">
        <v>144</v>
      </c>
      <c r="M310" t="s">
        <v>145</v>
      </c>
      <c r="N310" t="s">
        <v>2459</v>
      </c>
      <c r="O310" t="s">
        <v>2459</v>
      </c>
      <c r="P310" t="s">
        <v>2247</v>
      </c>
      <c r="Q310" t="e">
        <f t="shared" si="8"/>
        <v>#N/A</v>
      </c>
      <c r="R310">
        <f t="shared" si="9"/>
        <v>1</v>
      </c>
    </row>
    <row r="311" spans="1:18" x14ac:dyDescent="0.35">
      <c r="A311" s="11" t="s">
        <v>82</v>
      </c>
      <c r="B311" s="11" t="s">
        <v>929</v>
      </c>
      <c r="C311" s="11" t="s">
        <v>930</v>
      </c>
      <c r="D311" s="11" t="s">
        <v>144</v>
      </c>
      <c r="E311" s="11" t="s">
        <v>145</v>
      </c>
      <c r="F311" s="11" t="s">
        <v>152</v>
      </c>
      <c r="G311" s="11" t="s">
        <v>65</v>
      </c>
      <c r="I311" t="s">
        <v>930</v>
      </c>
      <c r="K311" t="s">
        <v>66</v>
      </c>
      <c r="L311" t="s">
        <v>144</v>
      </c>
      <c r="M311" t="s">
        <v>145</v>
      </c>
      <c r="N311" t="s">
        <v>2459</v>
      </c>
      <c r="O311" t="s">
        <v>2459</v>
      </c>
      <c r="P311" t="s">
        <v>2247</v>
      </c>
      <c r="Q311" t="e">
        <f t="shared" si="8"/>
        <v>#N/A</v>
      </c>
      <c r="R311">
        <f t="shared" si="9"/>
        <v>1</v>
      </c>
    </row>
    <row r="312" spans="1:18" x14ac:dyDescent="0.35">
      <c r="A312" s="11" t="s">
        <v>82</v>
      </c>
      <c r="B312" s="11" t="s">
        <v>931</v>
      </c>
      <c r="C312" s="11" t="s">
        <v>932</v>
      </c>
      <c r="D312" s="11" t="s">
        <v>144</v>
      </c>
      <c r="E312" s="11" t="s">
        <v>145</v>
      </c>
      <c r="F312" s="11" t="s">
        <v>152</v>
      </c>
      <c r="G312" s="11" t="s">
        <v>65</v>
      </c>
      <c r="I312" t="s">
        <v>932</v>
      </c>
      <c r="K312" t="s">
        <v>66</v>
      </c>
      <c r="L312" t="s">
        <v>144</v>
      </c>
      <c r="M312" t="s">
        <v>145</v>
      </c>
      <c r="N312" t="s">
        <v>2459</v>
      </c>
      <c r="O312" t="s">
        <v>2459</v>
      </c>
      <c r="P312" t="s">
        <v>2247</v>
      </c>
      <c r="Q312" t="e">
        <f t="shared" si="8"/>
        <v>#N/A</v>
      </c>
      <c r="R312">
        <f t="shared" si="9"/>
        <v>1</v>
      </c>
    </row>
    <row r="313" spans="1:18" x14ac:dyDescent="0.35">
      <c r="A313" s="11" t="s">
        <v>82</v>
      </c>
      <c r="B313" s="11" t="s">
        <v>933</v>
      </c>
      <c r="C313" s="11" t="s">
        <v>934</v>
      </c>
      <c r="D313" s="11" t="s">
        <v>144</v>
      </c>
      <c r="E313" s="11" t="s">
        <v>145</v>
      </c>
      <c r="F313" s="11" t="s">
        <v>152</v>
      </c>
      <c r="G313" s="11" t="s">
        <v>65</v>
      </c>
      <c r="I313" t="s">
        <v>934</v>
      </c>
      <c r="K313" t="s">
        <v>66</v>
      </c>
      <c r="L313" t="s">
        <v>144</v>
      </c>
      <c r="M313" t="s">
        <v>145</v>
      </c>
      <c r="N313" t="s">
        <v>2459</v>
      </c>
      <c r="O313" t="s">
        <v>2459</v>
      </c>
      <c r="P313" t="s">
        <v>2247</v>
      </c>
      <c r="Q313" t="e">
        <f t="shared" si="8"/>
        <v>#N/A</v>
      </c>
      <c r="R313">
        <f t="shared" si="9"/>
        <v>1</v>
      </c>
    </row>
    <row r="314" spans="1:18" x14ac:dyDescent="0.35">
      <c r="A314" s="11" t="s">
        <v>82</v>
      </c>
      <c r="B314" s="11" t="s">
        <v>935</v>
      </c>
      <c r="C314" s="11" t="s">
        <v>936</v>
      </c>
      <c r="D314" s="11" t="s">
        <v>144</v>
      </c>
      <c r="E314" s="11" t="s">
        <v>145</v>
      </c>
      <c r="F314" s="11" t="s">
        <v>152</v>
      </c>
      <c r="G314" s="11" t="s">
        <v>65</v>
      </c>
      <c r="I314" t="s">
        <v>936</v>
      </c>
      <c r="K314" t="s">
        <v>66</v>
      </c>
      <c r="L314" t="s">
        <v>144</v>
      </c>
      <c r="M314" t="s">
        <v>145</v>
      </c>
      <c r="N314" t="s">
        <v>2459</v>
      </c>
      <c r="O314" t="s">
        <v>2459</v>
      </c>
      <c r="P314" t="s">
        <v>2247</v>
      </c>
      <c r="Q314" t="e">
        <f t="shared" si="8"/>
        <v>#N/A</v>
      </c>
      <c r="R314">
        <f t="shared" si="9"/>
        <v>1</v>
      </c>
    </row>
    <row r="315" spans="1:18" x14ac:dyDescent="0.35">
      <c r="A315" s="11" t="s">
        <v>82</v>
      </c>
      <c r="B315" s="11" t="s">
        <v>937</v>
      </c>
      <c r="C315" s="11" t="s">
        <v>938</v>
      </c>
      <c r="D315" s="11" t="s">
        <v>144</v>
      </c>
      <c r="E315" s="11" t="s">
        <v>145</v>
      </c>
      <c r="F315" s="11" t="s">
        <v>152</v>
      </c>
      <c r="G315" s="11" t="s">
        <v>65</v>
      </c>
      <c r="I315" t="s">
        <v>938</v>
      </c>
      <c r="K315" t="s">
        <v>66</v>
      </c>
      <c r="L315" t="s">
        <v>144</v>
      </c>
      <c r="M315" t="s">
        <v>145</v>
      </c>
      <c r="N315" t="s">
        <v>2459</v>
      </c>
      <c r="O315" t="s">
        <v>2459</v>
      </c>
      <c r="P315" t="s">
        <v>2247</v>
      </c>
      <c r="Q315" t="e">
        <f t="shared" si="8"/>
        <v>#N/A</v>
      </c>
      <c r="R315">
        <f t="shared" si="9"/>
        <v>1</v>
      </c>
    </row>
    <row r="316" spans="1:18" x14ac:dyDescent="0.35">
      <c r="A316" s="11" t="s">
        <v>82</v>
      </c>
      <c r="B316" s="11" t="s">
        <v>939</v>
      </c>
      <c r="C316" s="11" t="s">
        <v>940</v>
      </c>
      <c r="D316" s="11" t="s">
        <v>144</v>
      </c>
      <c r="E316" s="11" t="s">
        <v>145</v>
      </c>
      <c r="F316" s="11" t="s">
        <v>152</v>
      </c>
      <c r="G316" s="11" t="s">
        <v>65</v>
      </c>
      <c r="I316" t="s">
        <v>940</v>
      </c>
      <c r="K316" t="s">
        <v>66</v>
      </c>
      <c r="L316" t="s">
        <v>144</v>
      </c>
      <c r="M316" t="s">
        <v>145</v>
      </c>
      <c r="N316" t="s">
        <v>2459</v>
      </c>
      <c r="O316" t="s">
        <v>2459</v>
      </c>
      <c r="P316" t="s">
        <v>2247</v>
      </c>
      <c r="Q316" t="e">
        <f t="shared" si="8"/>
        <v>#N/A</v>
      </c>
      <c r="R316">
        <f t="shared" si="9"/>
        <v>1</v>
      </c>
    </row>
    <row r="317" spans="1:18" x14ac:dyDescent="0.35">
      <c r="A317" s="11" t="s">
        <v>82</v>
      </c>
      <c r="B317" s="11" t="s">
        <v>941</v>
      </c>
      <c r="C317" s="11" t="s">
        <v>942</v>
      </c>
      <c r="D317" s="11" t="s">
        <v>154</v>
      </c>
      <c r="E317" s="11" t="s">
        <v>155</v>
      </c>
      <c r="F317" s="11" t="s">
        <v>156</v>
      </c>
      <c r="G317" s="11" t="s">
        <v>157</v>
      </c>
      <c r="I317" t="s">
        <v>942</v>
      </c>
      <c r="K317" t="s">
        <v>66</v>
      </c>
      <c r="L317" t="s">
        <v>144</v>
      </c>
      <c r="M317" t="s">
        <v>145</v>
      </c>
      <c r="N317" t="s">
        <v>2410</v>
      </c>
      <c r="O317" t="s">
        <v>2410</v>
      </c>
      <c r="Q317" t="e">
        <f t="shared" si="8"/>
        <v>#N/A</v>
      </c>
      <c r="R317" t="e">
        <f t="shared" si="9"/>
        <v>#N/A</v>
      </c>
    </row>
    <row r="318" spans="1:18" x14ac:dyDescent="0.35">
      <c r="A318" s="11" t="s">
        <v>82</v>
      </c>
      <c r="B318" s="11" t="s">
        <v>943</v>
      </c>
      <c r="C318" s="11" t="s">
        <v>944</v>
      </c>
      <c r="D318" s="11" t="s">
        <v>154</v>
      </c>
      <c r="E318" s="11" t="s">
        <v>155</v>
      </c>
      <c r="F318" s="11" t="s">
        <v>156</v>
      </c>
      <c r="G318" s="11" t="s">
        <v>157</v>
      </c>
      <c r="I318" t="s">
        <v>944</v>
      </c>
      <c r="K318" t="s">
        <v>66</v>
      </c>
      <c r="L318" t="s">
        <v>144</v>
      </c>
      <c r="M318" t="s">
        <v>145</v>
      </c>
      <c r="N318" t="s">
        <v>2410</v>
      </c>
      <c r="O318" t="s">
        <v>2410</v>
      </c>
      <c r="Q318" t="e">
        <f t="shared" si="8"/>
        <v>#N/A</v>
      </c>
      <c r="R318" t="e">
        <f t="shared" si="9"/>
        <v>#N/A</v>
      </c>
    </row>
    <row r="319" spans="1:18" x14ac:dyDescent="0.35">
      <c r="A319" s="11" t="s">
        <v>82</v>
      </c>
      <c r="B319" s="11" t="s">
        <v>945</v>
      </c>
      <c r="C319" s="11" t="s">
        <v>157</v>
      </c>
      <c r="D319" s="11" t="s">
        <v>154</v>
      </c>
      <c r="E319" s="11" t="s">
        <v>155</v>
      </c>
      <c r="F319" s="11" t="s">
        <v>156</v>
      </c>
      <c r="G319" s="11" t="s">
        <v>157</v>
      </c>
      <c r="I319" t="s">
        <v>157</v>
      </c>
      <c r="K319" t="s">
        <v>157</v>
      </c>
      <c r="L319" t="s">
        <v>154</v>
      </c>
      <c r="M319" t="s">
        <v>155</v>
      </c>
      <c r="N319" t="s">
        <v>2459</v>
      </c>
      <c r="O319" t="s">
        <v>2459</v>
      </c>
      <c r="Q319">
        <f t="shared" si="8"/>
        <v>1</v>
      </c>
      <c r="R319">
        <f t="shared" si="9"/>
        <v>1</v>
      </c>
    </row>
    <row r="320" spans="1:18" x14ac:dyDescent="0.35">
      <c r="A320" s="11" t="s">
        <v>82</v>
      </c>
      <c r="B320" s="11" t="s">
        <v>946</v>
      </c>
      <c r="C320" s="11" t="s">
        <v>947</v>
      </c>
      <c r="D320" s="11" t="s">
        <v>154</v>
      </c>
      <c r="E320" s="11" t="s">
        <v>155</v>
      </c>
      <c r="F320" s="11" t="s">
        <v>156</v>
      </c>
      <c r="G320" s="11" t="s">
        <v>157</v>
      </c>
      <c r="I320" t="s">
        <v>947</v>
      </c>
      <c r="K320" t="s">
        <v>157</v>
      </c>
      <c r="L320" t="s">
        <v>154</v>
      </c>
      <c r="M320" t="s">
        <v>155</v>
      </c>
      <c r="N320" t="s">
        <v>2459</v>
      </c>
      <c r="O320" t="s">
        <v>2459</v>
      </c>
      <c r="Q320">
        <f t="shared" si="8"/>
        <v>1</v>
      </c>
      <c r="R320">
        <f t="shared" si="9"/>
        <v>1</v>
      </c>
    </row>
    <row r="321" spans="1:18" x14ac:dyDescent="0.35">
      <c r="A321" s="11" t="s">
        <v>82</v>
      </c>
      <c r="B321" s="11" t="s">
        <v>948</v>
      </c>
      <c r="C321" s="11" t="s">
        <v>949</v>
      </c>
      <c r="D321" s="11" t="s">
        <v>154</v>
      </c>
      <c r="E321" s="11" t="s">
        <v>155</v>
      </c>
      <c r="F321" s="11" t="s">
        <v>156</v>
      </c>
      <c r="G321" s="11" t="s">
        <v>157</v>
      </c>
      <c r="I321" t="s">
        <v>949</v>
      </c>
      <c r="K321" t="s">
        <v>157</v>
      </c>
      <c r="L321" t="s">
        <v>154</v>
      </c>
      <c r="M321" t="s">
        <v>155</v>
      </c>
      <c r="N321" t="s">
        <v>2459</v>
      </c>
      <c r="O321" t="s">
        <v>2459</v>
      </c>
      <c r="Q321">
        <f t="shared" si="8"/>
        <v>1</v>
      </c>
      <c r="R321">
        <f t="shared" si="9"/>
        <v>1</v>
      </c>
    </row>
    <row r="322" spans="1:18" x14ac:dyDescent="0.35">
      <c r="A322" s="11" t="s">
        <v>82</v>
      </c>
      <c r="B322" s="11" t="s">
        <v>950</v>
      </c>
      <c r="C322" s="11" t="s">
        <v>951</v>
      </c>
      <c r="D322" s="11" t="s">
        <v>154</v>
      </c>
      <c r="E322" s="11" t="s">
        <v>155</v>
      </c>
      <c r="F322" s="11" t="s">
        <v>159</v>
      </c>
      <c r="G322" s="11" t="s">
        <v>160</v>
      </c>
      <c r="I322" t="s">
        <v>951</v>
      </c>
      <c r="K322" t="s">
        <v>160</v>
      </c>
      <c r="L322" t="s">
        <v>154</v>
      </c>
      <c r="M322" t="s">
        <v>155</v>
      </c>
      <c r="N322" t="s">
        <v>2459</v>
      </c>
      <c r="O322" t="s">
        <v>2459</v>
      </c>
      <c r="Q322">
        <f t="shared" si="8"/>
        <v>1</v>
      </c>
      <c r="R322">
        <f t="shared" si="9"/>
        <v>1</v>
      </c>
    </row>
    <row r="323" spans="1:18" x14ac:dyDescent="0.35">
      <c r="A323" s="11" t="s">
        <v>82</v>
      </c>
      <c r="B323" s="11" t="s">
        <v>952</v>
      </c>
      <c r="C323" s="11" t="s">
        <v>953</v>
      </c>
      <c r="D323" s="11" t="s">
        <v>154</v>
      </c>
      <c r="E323" s="11" t="s">
        <v>155</v>
      </c>
      <c r="F323" s="11" t="s">
        <v>159</v>
      </c>
      <c r="G323" s="11" t="s">
        <v>160</v>
      </c>
      <c r="I323" t="s">
        <v>953</v>
      </c>
      <c r="K323" t="s">
        <v>160</v>
      </c>
      <c r="L323" t="s">
        <v>154</v>
      </c>
      <c r="M323" t="s">
        <v>155</v>
      </c>
      <c r="N323" t="s">
        <v>2459</v>
      </c>
      <c r="O323" t="s">
        <v>2459</v>
      </c>
      <c r="Q323">
        <f t="shared" ref="Q323:Q386" si="10">MATCH(G323,K323,0)</f>
        <v>1</v>
      </c>
      <c r="R323">
        <f t="shared" ref="R323:R386" si="11">MATCH(E323,M323,0)</f>
        <v>1</v>
      </c>
    </row>
    <row r="324" spans="1:18" x14ac:dyDescent="0.35">
      <c r="A324" s="11" t="s">
        <v>82</v>
      </c>
      <c r="B324" s="11" t="s">
        <v>954</v>
      </c>
      <c r="C324" s="11" t="s">
        <v>160</v>
      </c>
      <c r="D324" s="11" t="s">
        <v>154</v>
      </c>
      <c r="E324" s="11" t="s">
        <v>155</v>
      </c>
      <c r="F324" s="11" t="s">
        <v>159</v>
      </c>
      <c r="G324" s="11" t="s">
        <v>160</v>
      </c>
      <c r="I324" t="s">
        <v>160</v>
      </c>
      <c r="K324" t="s">
        <v>160</v>
      </c>
      <c r="L324" t="s">
        <v>154</v>
      </c>
      <c r="M324" t="s">
        <v>155</v>
      </c>
      <c r="N324" t="s">
        <v>2459</v>
      </c>
      <c r="O324" t="s">
        <v>2459</v>
      </c>
      <c r="Q324">
        <f t="shared" si="10"/>
        <v>1</v>
      </c>
      <c r="R324">
        <f t="shared" si="11"/>
        <v>1</v>
      </c>
    </row>
    <row r="325" spans="1:18" x14ac:dyDescent="0.35">
      <c r="A325" s="11" t="s">
        <v>82</v>
      </c>
      <c r="B325" s="11" t="s">
        <v>955</v>
      </c>
      <c r="C325" s="11" t="s">
        <v>956</v>
      </c>
      <c r="D325" s="11" t="s">
        <v>154</v>
      </c>
      <c r="E325" s="11" t="s">
        <v>155</v>
      </c>
      <c r="F325" s="11" t="s">
        <v>159</v>
      </c>
      <c r="G325" s="11" t="s">
        <v>160</v>
      </c>
      <c r="I325" t="s">
        <v>956</v>
      </c>
      <c r="K325" t="s">
        <v>160</v>
      </c>
      <c r="L325" t="s">
        <v>154</v>
      </c>
      <c r="M325" t="s">
        <v>155</v>
      </c>
      <c r="N325" t="s">
        <v>2459</v>
      </c>
      <c r="O325" t="s">
        <v>2459</v>
      </c>
      <c r="Q325">
        <f t="shared" si="10"/>
        <v>1</v>
      </c>
      <c r="R325">
        <f t="shared" si="11"/>
        <v>1</v>
      </c>
    </row>
    <row r="326" spans="1:18" x14ac:dyDescent="0.35">
      <c r="A326" s="11" t="s">
        <v>82</v>
      </c>
      <c r="B326" s="11" t="s">
        <v>957</v>
      </c>
      <c r="C326" s="11" t="s">
        <v>958</v>
      </c>
      <c r="D326" s="11" t="s">
        <v>154</v>
      </c>
      <c r="E326" s="11" t="s">
        <v>155</v>
      </c>
      <c r="F326" s="11" t="s">
        <v>162</v>
      </c>
      <c r="G326" s="11" t="s">
        <v>163</v>
      </c>
      <c r="I326" t="s">
        <v>958</v>
      </c>
      <c r="K326" t="s">
        <v>163</v>
      </c>
      <c r="L326" t="s">
        <v>154</v>
      </c>
      <c r="M326" t="s">
        <v>155</v>
      </c>
      <c r="N326" t="s">
        <v>2459</v>
      </c>
      <c r="O326" t="s">
        <v>2459</v>
      </c>
      <c r="Q326">
        <f t="shared" si="10"/>
        <v>1</v>
      </c>
      <c r="R326">
        <f t="shared" si="11"/>
        <v>1</v>
      </c>
    </row>
    <row r="327" spans="1:18" x14ac:dyDescent="0.35">
      <c r="A327" s="11" t="s">
        <v>82</v>
      </c>
      <c r="B327" s="11" t="s">
        <v>959</v>
      </c>
      <c r="C327" s="11" t="s">
        <v>960</v>
      </c>
      <c r="D327" s="11" t="s">
        <v>154</v>
      </c>
      <c r="E327" s="11" t="s">
        <v>155</v>
      </c>
      <c r="F327" s="11" t="s">
        <v>162</v>
      </c>
      <c r="G327" s="11" t="s">
        <v>163</v>
      </c>
      <c r="I327" t="s">
        <v>960</v>
      </c>
      <c r="K327" t="s">
        <v>163</v>
      </c>
      <c r="L327" t="s">
        <v>154</v>
      </c>
      <c r="M327" t="s">
        <v>155</v>
      </c>
      <c r="N327" t="s">
        <v>2459</v>
      </c>
      <c r="O327" t="s">
        <v>2459</v>
      </c>
      <c r="Q327">
        <f t="shared" si="10"/>
        <v>1</v>
      </c>
      <c r="R327">
        <f t="shared" si="11"/>
        <v>1</v>
      </c>
    </row>
    <row r="328" spans="1:18" x14ac:dyDescent="0.35">
      <c r="A328" s="11" t="s">
        <v>82</v>
      </c>
      <c r="B328" s="11" t="s">
        <v>961</v>
      </c>
      <c r="C328" s="11" t="s">
        <v>962</v>
      </c>
      <c r="D328" s="11" t="s">
        <v>154</v>
      </c>
      <c r="E328" s="11" t="s">
        <v>155</v>
      </c>
      <c r="F328" s="11" t="s">
        <v>162</v>
      </c>
      <c r="G328" s="11" t="s">
        <v>163</v>
      </c>
      <c r="I328" t="s">
        <v>962</v>
      </c>
      <c r="K328" t="s">
        <v>163</v>
      </c>
      <c r="L328" t="s">
        <v>154</v>
      </c>
      <c r="M328" t="s">
        <v>155</v>
      </c>
      <c r="N328" t="s">
        <v>2459</v>
      </c>
      <c r="O328" t="s">
        <v>2459</v>
      </c>
      <c r="Q328">
        <f t="shared" si="10"/>
        <v>1</v>
      </c>
      <c r="R328">
        <f t="shared" si="11"/>
        <v>1</v>
      </c>
    </row>
    <row r="329" spans="1:18" x14ac:dyDescent="0.35">
      <c r="A329" s="11" t="s">
        <v>82</v>
      </c>
      <c r="B329" s="11" t="s">
        <v>963</v>
      </c>
      <c r="C329" s="11" t="s">
        <v>964</v>
      </c>
      <c r="D329" s="11" t="s">
        <v>154</v>
      </c>
      <c r="E329" s="11" t="s">
        <v>155</v>
      </c>
      <c r="F329" s="11" t="s">
        <v>162</v>
      </c>
      <c r="G329" s="11" t="s">
        <v>163</v>
      </c>
      <c r="I329" t="s">
        <v>964</v>
      </c>
      <c r="K329" t="s">
        <v>163</v>
      </c>
      <c r="L329" t="s">
        <v>154</v>
      </c>
      <c r="M329" t="s">
        <v>155</v>
      </c>
      <c r="N329" t="s">
        <v>2459</v>
      </c>
      <c r="O329" t="s">
        <v>2459</v>
      </c>
      <c r="Q329">
        <f t="shared" si="10"/>
        <v>1</v>
      </c>
      <c r="R329">
        <f t="shared" si="11"/>
        <v>1</v>
      </c>
    </row>
    <row r="330" spans="1:18" x14ac:dyDescent="0.35">
      <c r="A330" s="11" t="s">
        <v>82</v>
      </c>
      <c r="B330" s="11" t="s">
        <v>965</v>
      </c>
      <c r="C330" s="11" t="s">
        <v>966</v>
      </c>
      <c r="D330" s="11" t="s">
        <v>154</v>
      </c>
      <c r="E330" s="11" t="s">
        <v>155</v>
      </c>
      <c r="F330" s="11" t="s">
        <v>162</v>
      </c>
      <c r="G330" s="11" t="s">
        <v>163</v>
      </c>
      <c r="I330" t="s">
        <v>966</v>
      </c>
      <c r="K330" t="s">
        <v>163</v>
      </c>
      <c r="L330" t="s">
        <v>154</v>
      </c>
      <c r="M330" t="s">
        <v>155</v>
      </c>
      <c r="N330" t="s">
        <v>2459</v>
      </c>
      <c r="O330" t="s">
        <v>2459</v>
      </c>
      <c r="Q330">
        <f t="shared" si="10"/>
        <v>1</v>
      </c>
      <c r="R330">
        <f t="shared" si="11"/>
        <v>1</v>
      </c>
    </row>
    <row r="331" spans="1:18" x14ac:dyDescent="0.35">
      <c r="A331" s="11" t="s">
        <v>82</v>
      </c>
      <c r="B331" s="11" t="s">
        <v>967</v>
      </c>
      <c r="C331" s="11" t="s">
        <v>968</v>
      </c>
      <c r="D331" s="11" t="s">
        <v>154</v>
      </c>
      <c r="E331" s="11" t="s">
        <v>155</v>
      </c>
      <c r="F331" s="11" t="s">
        <v>162</v>
      </c>
      <c r="G331" s="11" t="s">
        <v>163</v>
      </c>
      <c r="I331" t="s">
        <v>968</v>
      </c>
      <c r="K331" t="s">
        <v>163</v>
      </c>
      <c r="L331" t="s">
        <v>154</v>
      </c>
      <c r="M331" t="s">
        <v>155</v>
      </c>
      <c r="N331" t="s">
        <v>2459</v>
      </c>
      <c r="O331" t="s">
        <v>2459</v>
      </c>
      <c r="Q331">
        <f t="shared" si="10"/>
        <v>1</v>
      </c>
      <c r="R331">
        <f t="shared" si="11"/>
        <v>1</v>
      </c>
    </row>
    <row r="332" spans="1:18" x14ac:dyDescent="0.35">
      <c r="A332" s="11" t="s">
        <v>82</v>
      </c>
      <c r="B332" s="11" t="s">
        <v>969</v>
      </c>
      <c r="C332" s="11" t="s">
        <v>970</v>
      </c>
      <c r="D332" s="11" t="s">
        <v>165</v>
      </c>
      <c r="E332" s="11" t="s">
        <v>166</v>
      </c>
      <c r="F332" s="11" t="s">
        <v>167</v>
      </c>
      <c r="G332" s="11" t="s">
        <v>168</v>
      </c>
      <c r="I332" t="s">
        <v>970</v>
      </c>
      <c r="K332" t="s">
        <v>168</v>
      </c>
      <c r="L332" t="s">
        <v>165</v>
      </c>
      <c r="M332" t="s">
        <v>166</v>
      </c>
      <c r="N332" t="s">
        <v>2459</v>
      </c>
      <c r="O332" t="s">
        <v>2459</v>
      </c>
      <c r="Q332">
        <f t="shared" si="10"/>
        <v>1</v>
      </c>
      <c r="R332">
        <f t="shared" si="11"/>
        <v>1</v>
      </c>
    </row>
    <row r="333" spans="1:18" x14ac:dyDescent="0.35">
      <c r="A333" s="11" t="s">
        <v>82</v>
      </c>
      <c r="B333" s="11" t="s">
        <v>971</v>
      </c>
      <c r="C333" s="11" t="s">
        <v>972</v>
      </c>
      <c r="D333" s="11" t="s">
        <v>165</v>
      </c>
      <c r="E333" s="11" t="s">
        <v>166</v>
      </c>
      <c r="F333" s="11" t="s">
        <v>167</v>
      </c>
      <c r="G333" s="11" t="s">
        <v>168</v>
      </c>
      <c r="I333" t="s">
        <v>972</v>
      </c>
      <c r="K333" t="s">
        <v>168</v>
      </c>
      <c r="L333" t="s">
        <v>165</v>
      </c>
      <c r="M333" t="s">
        <v>166</v>
      </c>
      <c r="N333" t="s">
        <v>2459</v>
      </c>
      <c r="O333" t="s">
        <v>2459</v>
      </c>
      <c r="Q333">
        <f t="shared" si="10"/>
        <v>1</v>
      </c>
      <c r="R333">
        <f t="shared" si="11"/>
        <v>1</v>
      </c>
    </row>
    <row r="334" spans="1:18" x14ac:dyDescent="0.35">
      <c r="A334" s="11" t="s">
        <v>82</v>
      </c>
      <c r="B334" s="11" t="s">
        <v>973</v>
      </c>
      <c r="C334" s="11" t="s">
        <v>974</v>
      </c>
      <c r="D334" s="11" t="s">
        <v>165</v>
      </c>
      <c r="E334" s="11" t="s">
        <v>166</v>
      </c>
      <c r="F334" s="11" t="s">
        <v>167</v>
      </c>
      <c r="G334" s="11" t="s">
        <v>168</v>
      </c>
      <c r="I334" t="s">
        <v>974</v>
      </c>
      <c r="K334" t="s">
        <v>168</v>
      </c>
      <c r="L334" t="s">
        <v>165</v>
      </c>
      <c r="M334" t="s">
        <v>166</v>
      </c>
      <c r="N334" t="s">
        <v>2459</v>
      </c>
      <c r="O334" t="s">
        <v>2459</v>
      </c>
      <c r="Q334">
        <f t="shared" si="10"/>
        <v>1</v>
      </c>
      <c r="R334">
        <f t="shared" si="11"/>
        <v>1</v>
      </c>
    </row>
    <row r="335" spans="1:18" x14ac:dyDescent="0.35">
      <c r="A335" s="11" t="s">
        <v>82</v>
      </c>
      <c r="B335" s="11" t="s">
        <v>975</v>
      </c>
      <c r="C335" s="11" t="s">
        <v>976</v>
      </c>
      <c r="D335" s="11" t="s">
        <v>165</v>
      </c>
      <c r="E335" s="11" t="s">
        <v>166</v>
      </c>
      <c r="F335" s="11" t="s">
        <v>167</v>
      </c>
      <c r="G335" s="11" t="s">
        <v>168</v>
      </c>
      <c r="I335" t="s">
        <v>976</v>
      </c>
      <c r="K335" t="s">
        <v>168</v>
      </c>
      <c r="L335" t="s">
        <v>165</v>
      </c>
      <c r="M335" t="s">
        <v>166</v>
      </c>
      <c r="N335" t="s">
        <v>2459</v>
      </c>
      <c r="O335" t="s">
        <v>2459</v>
      </c>
      <c r="Q335">
        <f t="shared" si="10"/>
        <v>1</v>
      </c>
      <c r="R335">
        <f t="shared" si="11"/>
        <v>1</v>
      </c>
    </row>
    <row r="336" spans="1:18" x14ac:dyDescent="0.35">
      <c r="A336" s="11" t="s">
        <v>82</v>
      </c>
      <c r="B336" s="11" t="s">
        <v>977</v>
      </c>
      <c r="C336" s="11" t="s">
        <v>168</v>
      </c>
      <c r="D336" s="11" t="s">
        <v>165</v>
      </c>
      <c r="E336" s="11" t="s">
        <v>166</v>
      </c>
      <c r="F336" s="11" t="s">
        <v>167</v>
      </c>
      <c r="G336" s="11" t="s">
        <v>168</v>
      </c>
      <c r="I336" t="s">
        <v>168</v>
      </c>
      <c r="K336" t="s">
        <v>168</v>
      </c>
      <c r="L336" t="s">
        <v>165</v>
      </c>
      <c r="M336" t="s">
        <v>166</v>
      </c>
      <c r="N336" t="s">
        <v>2459</v>
      </c>
      <c r="O336" t="s">
        <v>2459</v>
      </c>
      <c r="Q336">
        <f t="shared" si="10"/>
        <v>1</v>
      </c>
      <c r="R336">
        <f t="shared" si="11"/>
        <v>1</v>
      </c>
    </row>
    <row r="337" spans="1:18" x14ac:dyDescent="0.35">
      <c r="A337" s="11" t="s">
        <v>82</v>
      </c>
      <c r="B337" s="11" t="s">
        <v>978</v>
      </c>
      <c r="C337" s="11" t="s">
        <v>979</v>
      </c>
      <c r="D337" s="11" t="s">
        <v>165</v>
      </c>
      <c r="E337" s="11" t="s">
        <v>166</v>
      </c>
      <c r="F337" s="11" t="s">
        <v>167</v>
      </c>
      <c r="G337" s="11" t="s">
        <v>168</v>
      </c>
      <c r="I337" t="s">
        <v>979</v>
      </c>
      <c r="K337" t="s">
        <v>168</v>
      </c>
      <c r="L337" t="s">
        <v>165</v>
      </c>
      <c r="M337" t="s">
        <v>166</v>
      </c>
      <c r="N337" t="s">
        <v>2459</v>
      </c>
      <c r="O337" t="s">
        <v>2459</v>
      </c>
      <c r="Q337">
        <f t="shared" si="10"/>
        <v>1</v>
      </c>
      <c r="R337">
        <f t="shared" si="11"/>
        <v>1</v>
      </c>
    </row>
    <row r="338" spans="1:18" x14ac:dyDescent="0.35">
      <c r="A338" s="11" t="s">
        <v>82</v>
      </c>
      <c r="B338" s="11" t="s">
        <v>980</v>
      </c>
      <c r="C338" s="11" t="s">
        <v>981</v>
      </c>
      <c r="D338" s="11" t="s">
        <v>165</v>
      </c>
      <c r="E338" s="11" t="s">
        <v>166</v>
      </c>
      <c r="F338" s="11" t="s">
        <v>167</v>
      </c>
      <c r="G338" s="11" t="s">
        <v>168</v>
      </c>
      <c r="I338" t="s">
        <v>981</v>
      </c>
      <c r="K338" t="s">
        <v>168</v>
      </c>
      <c r="L338" t="s">
        <v>165</v>
      </c>
      <c r="M338" t="s">
        <v>166</v>
      </c>
      <c r="N338" t="s">
        <v>2459</v>
      </c>
      <c r="O338" t="s">
        <v>2459</v>
      </c>
      <c r="Q338">
        <f t="shared" si="10"/>
        <v>1</v>
      </c>
      <c r="R338">
        <f t="shared" si="11"/>
        <v>1</v>
      </c>
    </row>
    <row r="339" spans="1:18" x14ac:dyDescent="0.35">
      <c r="A339" s="11" t="s">
        <v>82</v>
      </c>
      <c r="B339" s="11" t="s">
        <v>982</v>
      </c>
      <c r="C339" s="11" t="s">
        <v>983</v>
      </c>
      <c r="D339" s="11" t="s">
        <v>165</v>
      </c>
      <c r="E339" s="11" t="s">
        <v>166</v>
      </c>
      <c r="F339" s="11" t="s">
        <v>167</v>
      </c>
      <c r="G339" s="11" t="s">
        <v>168</v>
      </c>
      <c r="I339" t="s">
        <v>983</v>
      </c>
      <c r="K339" t="s">
        <v>168</v>
      </c>
      <c r="L339" t="s">
        <v>165</v>
      </c>
      <c r="M339" t="s">
        <v>166</v>
      </c>
      <c r="N339" t="s">
        <v>2459</v>
      </c>
      <c r="O339" t="s">
        <v>2459</v>
      </c>
      <c r="Q339">
        <f t="shared" si="10"/>
        <v>1</v>
      </c>
      <c r="R339">
        <f t="shared" si="11"/>
        <v>1</v>
      </c>
    </row>
    <row r="340" spans="1:18" x14ac:dyDescent="0.35">
      <c r="A340" s="11" t="s">
        <v>82</v>
      </c>
      <c r="B340" s="11" t="s">
        <v>984</v>
      </c>
      <c r="C340" s="11" t="s">
        <v>985</v>
      </c>
      <c r="D340" s="11" t="s">
        <v>165</v>
      </c>
      <c r="E340" s="11" t="s">
        <v>166</v>
      </c>
      <c r="F340" s="11" t="s">
        <v>167</v>
      </c>
      <c r="G340" s="11" t="s">
        <v>168</v>
      </c>
      <c r="I340" t="s">
        <v>985</v>
      </c>
      <c r="K340" t="s">
        <v>168</v>
      </c>
      <c r="L340" t="s">
        <v>165</v>
      </c>
      <c r="M340" t="s">
        <v>166</v>
      </c>
      <c r="N340" t="s">
        <v>2459</v>
      </c>
      <c r="O340" t="s">
        <v>2459</v>
      </c>
      <c r="Q340">
        <f t="shared" si="10"/>
        <v>1</v>
      </c>
      <c r="R340">
        <f t="shared" si="11"/>
        <v>1</v>
      </c>
    </row>
    <row r="341" spans="1:18" x14ac:dyDescent="0.35">
      <c r="A341" s="11" t="s">
        <v>82</v>
      </c>
      <c r="B341" s="11" t="s">
        <v>986</v>
      </c>
      <c r="C341" s="11" t="s">
        <v>987</v>
      </c>
      <c r="D341" s="11" t="s">
        <v>165</v>
      </c>
      <c r="E341" s="11" t="s">
        <v>166</v>
      </c>
      <c r="F341" s="11" t="s">
        <v>170</v>
      </c>
      <c r="G341" s="11" t="s">
        <v>171</v>
      </c>
      <c r="I341" t="s">
        <v>987</v>
      </c>
      <c r="K341" t="s">
        <v>171</v>
      </c>
      <c r="L341" t="s">
        <v>165</v>
      </c>
      <c r="M341" t="s">
        <v>166</v>
      </c>
      <c r="N341" t="s">
        <v>2459</v>
      </c>
      <c r="O341" t="s">
        <v>2459</v>
      </c>
      <c r="Q341">
        <f t="shared" si="10"/>
        <v>1</v>
      </c>
      <c r="R341">
        <f t="shared" si="11"/>
        <v>1</v>
      </c>
    </row>
    <row r="342" spans="1:18" x14ac:dyDescent="0.35">
      <c r="A342" s="11" t="s">
        <v>82</v>
      </c>
      <c r="B342" s="11" t="s">
        <v>988</v>
      </c>
      <c r="C342" s="11" t="s">
        <v>989</v>
      </c>
      <c r="D342" s="11" t="s">
        <v>165</v>
      </c>
      <c r="E342" s="11" t="s">
        <v>166</v>
      </c>
      <c r="F342" s="11" t="s">
        <v>170</v>
      </c>
      <c r="G342" s="11" t="s">
        <v>171</v>
      </c>
      <c r="I342" t="s">
        <v>989</v>
      </c>
      <c r="K342" t="s">
        <v>171</v>
      </c>
      <c r="L342" t="s">
        <v>165</v>
      </c>
      <c r="M342" t="s">
        <v>166</v>
      </c>
      <c r="N342" t="s">
        <v>2459</v>
      </c>
      <c r="O342" t="s">
        <v>2459</v>
      </c>
      <c r="Q342">
        <f t="shared" si="10"/>
        <v>1</v>
      </c>
      <c r="R342">
        <f t="shared" si="11"/>
        <v>1</v>
      </c>
    </row>
    <row r="343" spans="1:18" x14ac:dyDescent="0.35">
      <c r="A343" s="11" t="s">
        <v>82</v>
      </c>
      <c r="B343" s="11" t="s">
        <v>990</v>
      </c>
      <c r="C343" s="11" t="s">
        <v>991</v>
      </c>
      <c r="D343" s="11" t="s">
        <v>165</v>
      </c>
      <c r="E343" s="11" t="s">
        <v>166</v>
      </c>
      <c r="F343" s="11" t="s">
        <v>170</v>
      </c>
      <c r="G343" s="11" t="s">
        <v>171</v>
      </c>
      <c r="I343" t="s">
        <v>991</v>
      </c>
      <c r="K343" t="s">
        <v>171</v>
      </c>
      <c r="L343" t="s">
        <v>165</v>
      </c>
      <c r="M343" t="s">
        <v>166</v>
      </c>
      <c r="N343" t="s">
        <v>2459</v>
      </c>
      <c r="O343" t="s">
        <v>2459</v>
      </c>
      <c r="Q343">
        <f t="shared" si="10"/>
        <v>1</v>
      </c>
      <c r="R343">
        <f t="shared" si="11"/>
        <v>1</v>
      </c>
    </row>
    <row r="344" spans="1:18" x14ac:dyDescent="0.35">
      <c r="A344" s="11" t="s">
        <v>82</v>
      </c>
      <c r="B344" s="11" t="s">
        <v>992</v>
      </c>
      <c r="C344" s="11" t="s">
        <v>993</v>
      </c>
      <c r="D344" s="11" t="s">
        <v>165</v>
      </c>
      <c r="E344" s="11" t="s">
        <v>166</v>
      </c>
      <c r="F344" s="11" t="s">
        <v>170</v>
      </c>
      <c r="G344" s="11" t="s">
        <v>171</v>
      </c>
      <c r="I344" t="s">
        <v>993</v>
      </c>
      <c r="K344" t="s">
        <v>171</v>
      </c>
      <c r="L344" t="s">
        <v>165</v>
      </c>
      <c r="M344" t="s">
        <v>166</v>
      </c>
      <c r="N344" t="s">
        <v>2459</v>
      </c>
      <c r="O344" t="s">
        <v>2459</v>
      </c>
      <c r="Q344">
        <f t="shared" si="10"/>
        <v>1</v>
      </c>
      <c r="R344">
        <f t="shared" si="11"/>
        <v>1</v>
      </c>
    </row>
    <row r="345" spans="1:18" x14ac:dyDescent="0.35">
      <c r="A345" s="11" t="s">
        <v>82</v>
      </c>
      <c r="B345" s="11" t="s">
        <v>994</v>
      </c>
      <c r="C345" s="11" t="s">
        <v>995</v>
      </c>
      <c r="D345" s="11" t="s">
        <v>165</v>
      </c>
      <c r="E345" s="11" t="s">
        <v>166</v>
      </c>
      <c r="F345" s="11" t="s">
        <v>170</v>
      </c>
      <c r="G345" s="11" t="s">
        <v>171</v>
      </c>
      <c r="I345" t="s">
        <v>995</v>
      </c>
      <c r="K345" t="s">
        <v>171</v>
      </c>
      <c r="L345" t="s">
        <v>165</v>
      </c>
      <c r="M345" t="s">
        <v>166</v>
      </c>
      <c r="N345" t="s">
        <v>2459</v>
      </c>
      <c r="O345" t="s">
        <v>2459</v>
      </c>
      <c r="Q345">
        <f t="shared" si="10"/>
        <v>1</v>
      </c>
      <c r="R345">
        <f t="shared" si="11"/>
        <v>1</v>
      </c>
    </row>
    <row r="346" spans="1:18" x14ac:dyDescent="0.35">
      <c r="A346" s="11" t="s">
        <v>82</v>
      </c>
      <c r="B346" s="11" t="s">
        <v>996</v>
      </c>
      <c r="C346" s="11" t="s">
        <v>997</v>
      </c>
      <c r="D346" s="11" t="s">
        <v>165</v>
      </c>
      <c r="E346" s="11" t="s">
        <v>166</v>
      </c>
      <c r="F346" s="11" t="s">
        <v>170</v>
      </c>
      <c r="G346" s="11" t="s">
        <v>171</v>
      </c>
      <c r="I346" t="s">
        <v>997</v>
      </c>
      <c r="K346" t="s">
        <v>171</v>
      </c>
      <c r="L346" t="s">
        <v>165</v>
      </c>
      <c r="M346" t="s">
        <v>166</v>
      </c>
      <c r="N346" t="s">
        <v>2459</v>
      </c>
      <c r="O346" t="s">
        <v>2459</v>
      </c>
      <c r="Q346">
        <f t="shared" si="10"/>
        <v>1</v>
      </c>
      <c r="R346">
        <f t="shared" si="11"/>
        <v>1</v>
      </c>
    </row>
    <row r="347" spans="1:18" x14ac:dyDescent="0.35">
      <c r="A347" s="11" t="s">
        <v>82</v>
      </c>
      <c r="B347" s="11" t="s">
        <v>998</v>
      </c>
      <c r="C347" s="11" t="s">
        <v>999</v>
      </c>
      <c r="D347" s="11" t="s">
        <v>165</v>
      </c>
      <c r="E347" s="11" t="s">
        <v>166</v>
      </c>
      <c r="F347" s="11" t="s">
        <v>170</v>
      </c>
      <c r="G347" s="11" t="s">
        <v>171</v>
      </c>
      <c r="I347" t="s">
        <v>999</v>
      </c>
      <c r="K347" t="s">
        <v>171</v>
      </c>
      <c r="L347" t="s">
        <v>165</v>
      </c>
      <c r="M347" t="s">
        <v>166</v>
      </c>
      <c r="N347" t="s">
        <v>2459</v>
      </c>
      <c r="O347" t="s">
        <v>2459</v>
      </c>
      <c r="Q347">
        <f t="shared" si="10"/>
        <v>1</v>
      </c>
      <c r="R347">
        <f t="shared" si="11"/>
        <v>1</v>
      </c>
    </row>
    <row r="348" spans="1:18" x14ac:dyDescent="0.35">
      <c r="A348" s="11" t="s">
        <v>82</v>
      </c>
      <c r="B348" s="11" t="s">
        <v>1000</v>
      </c>
      <c r="C348" s="11" t="s">
        <v>171</v>
      </c>
      <c r="D348" s="11" t="s">
        <v>165</v>
      </c>
      <c r="E348" s="11" t="s">
        <v>166</v>
      </c>
      <c r="F348" s="11" t="s">
        <v>170</v>
      </c>
      <c r="G348" s="11" t="s">
        <v>171</v>
      </c>
      <c r="I348" t="s">
        <v>171</v>
      </c>
      <c r="K348" t="s">
        <v>171</v>
      </c>
      <c r="L348" t="s">
        <v>165</v>
      </c>
      <c r="M348" t="s">
        <v>166</v>
      </c>
      <c r="N348" t="s">
        <v>2459</v>
      </c>
      <c r="O348" t="s">
        <v>2459</v>
      </c>
      <c r="Q348">
        <f t="shared" si="10"/>
        <v>1</v>
      </c>
      <c r="R348">
        <f t="shared" si="11"/>
        <v>1</v>
      </c>
    </row>
    <row r="349" spans="1:18" x14ac:dyDescent="0.35">
      <c r="A349" s="11" t="s">
        <v>82</v>
      </c>
      <c r="B349" s="11" t="s">
        <v>1001</v>
      </c>
      <c r="C349" s="11" t="s">
        <v>1002</v>
      </c>
      <c r="D349" s="11" t="s">
        <v>165</v>
      </c>
      <c r="E349" s="11" t="s">
        <v>166</v>
      </c>
      <c r="F349" s="11" t="s">
        <v>170</v>
      </c>
      <c r="G349" s="11" t="s">
        <v>171</v>
      </c>
      <c r="I349" t="s">
        <v>1002</v>
      </c>
      <c r="K349" t="s">
        <v>171</v>
      </c>
      <c r="L349" t="s">
        <v>165</v>
      </c>
      <c r="M349" t="s">
        <v>166</v>
      </c>
      <c r="N349" t="s">
        <v>2459</v>
      </c>
      <c r="O349" t="s">
        <v>2459</v>
      </c>
      <c r="Q349">
        <f t="shared" si="10"/>
        <v>1</v>
      </c>
      <c r="R349">
        <f t="shared" si="11"/>
        <v>1</v>
      </c>
    </row>
    <row r="350" spans="1:18" x14ac:dyDescent="0.35">
      <c r="A350" s="11" t="s">
        <v>82</v>
      </c>
      <c r="B350" s="11" t="s">
        <v>1003</v>
      </c>
      <c r="C350" s="11" t="s">
        <v>1004</v>
      </c>
      <c r="D350" s="11" t="s">
        <v>165</v>
      </c>
      <c r="E350" s="11" t="s">
        <v>166</v>
      </c>
      <c r="F350" s="11" t="s">
        <v>170</v>
      </c>
      <c r="G350" s="11" t="s">
        <v>171</v>
      </c>
      <c r="I350" t="s">
        <v>1004</v>
      </c>
      <c r="K350" t="s">
        <v>171</v>
      </c>
      <c r="L350" t="s">
        <v>165</v>
      </c>
      <c r="M350" t="s">
        <v>166</v>
      </c>
      <c r="N350" t="s">
        <v>2459</v>
      </c>
      <c r="O350" t="s">
        <v>2459</v>
      </c>
      <c r="Q350">
        <f t="shared" si="10"/>
        <v>1</v>
      </c>
      <c r="R350">
        <f t="shared" si="11"/>
        <v>1</v>
      </c>
    </row>
    <row r="351" spans="1:18" x14ac:dyDescent="0.35">
      <c r="A351" s="11" t="s">
        <v>82</v>
      </c>
      <c r="B351" s="11" t="s">
        <v>1005</v>
      </c>
      <c r="C351" s="11" t="s">
        <v>1006</v>
      </c>
      <c r="D351" s="11" t="s">
        <v>165</v>
      </c>
      <c r="E351" s="11" t="s">
        <v>166</v>
      </c>
      <c r="F351" s="11" t="s">
        <v>170</v>
      </c>
      <c r="G351" s="11" t="s">
        <v>171</v>
      </c>
      <c r="I351" t="s">
        <v>1006</v>
      </c>
      <c r="K351" t="s">
        <v>171</v>
      </c>
      <c r="L351" t="s">
        <v>165</v>
      </c>
      <c r="M351" t="s">
        <v>166</v>
      </c>
      <c r="N351" t="s">
        <v>2459</v>
      </c>
      <c r="O351" t="s">
        <v>2459</v>
      </c>
      <c r="Q351">
        <f t="shared" si="10"/>
        <v>1</v>
      </c>
      <c r="R351">
        <f t="shared" si="11"/>
        <v>1</v>
      </c>
    </row>
    <row r="352" spans="1:18" x14ac:dyDescent="0.35">
      <c r="A352" s="11" t="s">
        <v>82</v>
      </c>
      <c r="B352" s="11" t="s">
        <v>1007</v>
      </c>
      <c r="C352" s="11" t="s">
        <v>1008</v>
      </c>
      <c r="D352" s="11" t="s">
        <v>165</v>
      </c>
      <c r="E352" s="11" t="s">
        <v>166</v>
      </c>
      <c r="F352" s="11" t="s">
        <v>170</v>
      </c>
      <c r="G352" s="11" t="s">
        <v>171</v>
      </c>
      <c r="I352" t="s">
        <v>1008</v>
      </c>
      <c r="K352" t="s">
        <v>171</v>
      </c>
      <c r="L352" t="s">
        <v>165</v>
      </c>
      <c r="M352" t="s">
        <v>166</v>
      </c>
      <c r="N352" t="s">
        <v>2459</v>
      </c>
      <c r="O352" t="s">
        <v>2459</v>
      </c>
      <c r="Q352">
        <f t="shared" si="10"/>
        <v>1</v>
      </c>
      <c r="R352">
        <f t="shared" si="11"/>
        <v>1</v>
      </c>
    </row>
    <row r="353" spans="1:18" x14ac:dyDescent="0.35">
      <c r="A353" s="11" t="s">
        <v>82</v>
      </c>
      <c r="B353" s="11" t="s">
        <v>1009</v>
      </c>
      <c r="C353" s="11" t="s">
        <v>1010</v>
      </c>
      <c r="D353" s="11" t="s">
        <v>165</v>
      </c>
      <c r="E353" s="11" t="s">
        <v>166</v>
      </c>
      <c r="F353" s="11" t="s">
        <v>170</v>
      </c>
      <c r="G353" s="11" t="s">
        <v>171</v>
      </c>
      <c r="I353" t="s">
        <v>1010</v>
      </c>
      <c r="K353" t="s">
        <v>171</v>
      </c>
      <c r="L353" t="s">
        <v>165</v>
      </c>
      <c r="M353" t="s">
        <v>166</v>
      </c>
      <c r="N353" t="s">
        <v>2459</v>
      </c>
      <c r="O353" t="s">
        <v>2459</v>
      </c>
      <c r="Q353">
        <f t="shared" si="10"/>
        <v>1</v>
      </c>
      <c r="R353">
        <f t="shared" si="11"/>
        <v>1</v>
      </c>
    </row>
    <row r="354" spans="1:18" x14ac:dyDescent="0.35">
      <c r="A354" s="11" t="s">
        <v>82</v>
      </c>
      <c r="B354" s="11" t="s">
        <v>1011</v>
      </c>
      <c r="C354" s="11" t="s">
        <v>1012</v>
      </c>
      <c r="D354" s="11" t="s">
        <v>165</v>
      </c>
      <c r="E354" s="11" t="s">
        <v>166</v>
      </c>
      <c r="F354" s="11" t="s">
        <v>170</v>
      </c>
      <c r="G354" s="11" t="s">
        <v>171</v>
      </c>
      <c r="I354" t="s">
        <v>1012</v>
      </c>
      <c r="K354" t="s">
        <v>171</v>
      </c>
      <c r="L354" t="s">
        <v>165</v>
      </c>
      <c r="M354" t="s">
        <v>166</v>
      </c>
      <c r="N354" t="s">
        <v>2459</v>
      </c>
      <c r="O354" t="s">
        <v>2459</v>
      </c>
      <c r="Q354">
        <f t="shared" si="10"/>
        <v>1</v>
      </c>
      <c r="R354">
        <f t="shared" si="11"/>
        <v>1</v>
      </c>
    </row>
    <row r="355" spans="1:18" x14ac:dyDescent="0.35">
      <c r="A355" s="11" t="s">
        <v>82</v>
      </c>
      <c r="B355" s="11" t="s">
        <v>1013</v>
      </c>
      <c r="C355" s="11" t="s">
        <v>1014</v>
      </c>
      <c r="D355" s="11" t="s">
        <v>165</v>
      </c>
      <c r="E355" s="11" t="s">
        <v>166</v>
      </c>
      <c r="F355" s="11" t="s">
        <v>173</v>
      </c>
      <c r="G355" s="11" t="s">
        <v>174</v>
      </c>
      <c r="I355" t="s">
        <v>1014</v>
      </c>
      <c r="K355" t="s">
        <v>174</v>
      </c>
      <c r="L355" t="s">
        <v>165</v>
      </c>
      <c r="M355" t="s">
        <v>166</v>
      </c>
      <c r="N355" t="s">
        <v>2459</v>
      </c>
      <c r="O355" t="s">
        <v>2459</v>
      </c>
      <c r="Q355">
        <f t="shared" si="10"/>
        <v>1</v>
      </c>
      <c r="R355">
        <f t="shared" si="11"/>
        <v>1</v>
      </c>
    </row>
    <row r="356" spans="1:18" x14ac:dyDescent="0.35">
      <c r="A356" s="11" t="s">
        <v>82</v>
      </c>
      <c r="B356" s="11" t="s">
        <v>1015</v>
      </c>
      <c r="C356" s="11" t="s">
        <v>1016</v>
      </c>
      <c r="D356" s="11" t="s">
        <v>165</v>
      </c>
      <c r="E356" s="11" t="s">
        <v>166</v>
      </c>
      <c r="F356" s="11" t="s">
        <v>173</v>
      </c>
      <c r="G356" s="11" t="s">
        <v>174</v>
      </c>
      <c r="I356" t="s">
        <v>1016</v>
      </c>
      <c r="K356" t="s">
        <v>174</v>
      </c>
      <c r="L356" t="s">
        <v>165</v>
      </c>
      <c r="M356" t="s">
        <v>166</v>
      </c>
      <c r="N356" t="s">
        <v>2459</v>
      </c>
      <c r="O356" t="s">
        <v>2459</v>
      </c>
      <c r="Q356">
        <f t="shared" si="10"/>
        <v>1</v>
      </c>
      <c r="R356">
        <f t="shared" si="11"/>
        <v>1</v>
      </c>
    </row>
    <row r="357" spans="1:18" x14ac:dyDescent="0.35">
      <c r="A357" s="11" t="s">
        <v>82</v>
      </c>
      <c r="B357" s="11" t="s">
        <v>1017</v>
      </c>
      <c r="C357" s="11" t="s">
        <v>1018</v>
      </c>
      <c r="D357" s="11" t="s">
        <v>165</v>
      </c>
      <c r="E357" s="11" t="s">
        <v>166</v>
      </c>
      <c r="F357" s="11" t="s">
        <v>173</v>
      </c>
      <c r="G357" s="11" t="s">
        <v>174</v>
      </c>
      <c r="I357" t="s">
        <v>1018</v>
      </c>
      <c r="K357" t="s">
        <v>174</v>
      </c>
      <c r="L357" t="s">
        <v>165</v>
      </c>
      <c r="M357" t="s">
        <v>166</v>
      </c>
      <c r="N357" t="s">
        <v>2459</v>
      </c>
      <c r="O357" t="s">
        <v>2459</v>
      </c>
      <c r="Q357">
        <f t="shared" si="10"/>
        <v>1</v>
      </c>
      <c r="R357">
        <f t="shared" si="11"/>
        <v>1</v>
      </c>
    </row>
    <row r="358" spans="1:18" x14ac:dyDescent="0.35">
      <c r="A358" s="11" t="s">
        <v>82</v>
      </c>
      <c r="B358" s="11" t="s">
        <v>1019</v>
      </c>
      <c r="C358" s="11" t="s">
        <v>1020</v>
      </c>
      <c r="D358" s="11" t="s">
        <v>165</v>
      </c>
      <c r="E358" s="11" t="s">
        <v>166</v>
      </c>
      <c r="F358" s="11" t="s">
        <v>173</v>
      </c>
      <c r="G358" s="11" t="s">
        <v>174</v>
      </c>
      <c r="I358" t="s">
        <v>1020</v>
      </c>
      <c r="K358" t="s">
        <v>174</v>
      </c>
      <c r="L358" t="s">
        <v>165</v>
      </c>
      <c r="M358" t="s">
        <v>166</v>
      </c>
      <c r="N358" t="s">
        <v>2459</v>
      </c>
      <c r="O358" t="s">
        <v>2459</v>
      </c>
      <c r="Q358">
        <f t="shared" si="10"/>
        <v>1</v>
      </c>
      <c r="R358">
        <f t="shared" si="11"/>
        <v>1</v>
      </c>
    </row>
    <row r="359" spans="1:18" x14ac:dyDescent="0.35">
      <c r="A359" s="11" t="s">
        <v>82</v>
      </c>
      <c r="B359" s="11" t="s">
        <v>1021</v>
      </c>
      <c r="C359" s="11" t="s">
        <v>174</v>
      </c>
      <c r="D359" s="11" t="s">
        <v>165</v>
      </c>
      <c r="E359" s="11" t="s">
        <v>166</v>
      </c>
      <c r="F359" s="11" t="s">
        <v>173</v>
      </c>
      <c r="G359" s="11" t="s">
        <v>174</v>
      </c>
      <c r="I359" t="s">
        <v>174</v>
      </c>
      <c r="K359" t="s">
        <v>174</v>
      </c>
      <c r="L359" t="s">
        <v>165</v>
      </c>
      <c r="M359" t="s">
        <v>166</v>
      </c>
      <c r="N359" t="s">
        <v>2459</v>
      </c>
      <c r="O359" t="s">
        <v>2459</v>
      </c>
      <c r="Q359">
        <f t="shared" si="10"/>
        <v>1</v>
      </c>
      <c r="R359">
        <f t="shared" si="11"/>
        <v>1</v>
      </c>
    </row>
    <row r="360" spans="1:18" x14ac:dyDescent="0.35">
      <c r="A360" s="11" t="s">
        <v>82</v>
      </c>
      <c r="B360" s="11" t="s">
        <v>1022</v>
      </c>
      <c r="C360" s="11" t="s">
        <v>1023</v>
      </c>
      <c r="D360" s="11" t="s">
        <v>165</v>
      </c>
      <c r="E360" s="11" t="s">
        <v>166</v>
      </c>
      <c r="F360" s="11" t="s">
        <v>173</v>
      </c>
      <c r="G360" s="11" t="s">
        <v>174</v>
      </c>
      <c r="I360" t="s">
        <v>1023</v>
      </c>
      <c r="K360" t="s">
        <v>174</v>
      </c>
      <c r="L360" t="s">
        <v>165</v>
      </c>
      <c r="M360" t="s">
        <v>166</v>
      </c>
      <c r="N360" t="s">
        <v>2459</v>
      </c>
      <c r="O360" t="s">
        <v>2459</v>
      </c>
      <c r="Q360">
        <f t="shared" si="10"/>
        <v>1</v>
      </c>
      <c r="R360">
        <f t="shared" si="11"/>
        <v>1</v>
      </c>
    </row>
    <row r="361" spans="1:18" x14ac:dyDescent="0.35">
      <c r="A361" s="11" t="s">
        <v>82</v>
      </c>
      <c r="B361" s="11" t="s">
        <v>1024</v>
      </c>
      <c r="C361" s="11" t="s">
        <v>1025</v>
      </c>
      <c r="D361" s="11" t="s">
        <v>165</v>
      </c>
      <c r="E361" s="11" t="s">
        <v>166</v>
      </c>
      <c r="F361" s="11" t="s">
        <v>173</v>
      </c>
      <c r="G361" s="11" t="s">
        <v>174</v>
      </c>
      <c r="I361" t="s">
        <v>1025</v>
      </c>
      <c r="K361" t="s">
        <v>174</v>
      </c>
      <c r="L361" t="s">
        <v>165</v>
      </c>
      <c r="M361" t="s">
        <v>166</v>
      </c>
      <c r="N361" t="s">
        <v>2459</v>
      </c>
      <c r="O361" t="s">
        <v>2459</v>
      </c>
      <c r="Q361">
        <f t="shared" si="10"/>
        <v>1</v>
      </c>
      <c r="R361">
        <f t="shared" si="11"/>
        <v>1</v>
      </c>
    </row>
    <row r="362" spans="1:18" x14ac:dyDescent="0.35">
      <c r="A362" s="11" t="s">
        <v>82</v>
      </c>
      <c r="B362" s="11" t="s">
        <v>1026</v>
      </c>
      <c r="C362" s="11" t="s">
        <v>1027</v>
      </c>
      <c r="D362" s="11" t="s">
        <v>176</v>
      </c>
      <c r="E362" s="11" t="s">
        <v>177</v>
      </c>
      <c r="F362" s="11" t="s">
        <v>178</v>
      </c>
      <c r="G362" s="11" t="s">
        <v>179</v>
      </c>
      <c r="I362" t="s">
        <v>1027</v>
      </c>
      <c r="K362" t="s">
        <v>179</v>
      </c>
      <c r="L362" t="s">
        <v>176</v>
      </c>
      <c r="M362" t="s">
        <v>177</v>
      </c>
      <c r="N362" t="s">
        <v>2459</v>
      </c>
      <c r="O362" t="s">
        <v>2459</v>
      </c>
      <c r="Q362">
        <f t="shared" si="10"/>
        <v>1</v>
      </c>
      <c r="R362">
        <f t="shared" si="11"/>
        <v>1</v>
      </c>
    </row>
    <row r="363" spans="1:18" x14ac:dyDescent="0.35">
      <c r="A363" s="11" t="s">
        <v>82</v>
      </c>
      <c r="B363" s="11" t="s">
        <v>1028</v>
      </c>
      <c r="C363" s="11" t="s">
        <v>1029</v>
      </c>
      <c r="D363" s="11" t="s">
        <v>176</v>
      </c>
      <c r="E363" s="11" t="s">
        <v>177</v>
      </c>
      <c r="F363" s="11" t="s">
        <v>178</v>
      </c>
      <c r="G363" s="11" t="s">
        <v>179</v>
      </c>
      <c r="I363" t="s">
        <v>1029</v>
      </c>
      <c r="K363" t="s">
        <v>179</v>
      </c>
      <c r="L363" t="s">
        <v>176</v>
      </c>
      <c r="M363" t="s">
        <v>177</v>
      </c>
      <c r="N363" t="s">
        <v>2459</v>
      </c>
      <c r="O363" t="s">
        <v>2459</v>
      </c>
      <c r="Q363">
        <f t="shared" si="10"/>
        <v>1</v>
      </c>
      <c r="R363">
        <f t="shared" si="11"/>
        <v>1</v>
      </c>
    </row>
    <row r="364" spans="1:18" x14ac:dyDescent="0.35">
      <c r="A364" s="11" t="s">
        <v>82</v>
      </c>
      <c r="B364" s="11" t="s">
        <v>1030</v>
      </c>
      <c r="C364" s="11" t="s">
        <v>179</v>
      </c>
      <c r="D364" s="11" t="s">
        <v>176</v>
      </c>
      <c r="E364" s="11" t="s">
        <v>177</v>
      </c>
      <c r="F364" s="11" t="s">
        <v>178</v>
      </c>
      <c r="G364" s="11" t="s">
        <v>179</v>
      </c>
      <c r="I364" t="s">
        <v>179</v>
      </c>
      <c r="K364" t="s">
        <v>179</v>
      </c>
      <c r="L364" t="s">
        <v>176</v>
      </c>
      <c r="M364" t="s">
        <v>177</v>
      </c>
      <c r="N364" t="s">
        <v>2459</v>
      </c>
      <c r="O364" t="s">
        <v>2459</v>
      </c>
      <c r="Q364">
        <f t="shared" si="10"/>
        <v>1</v>
      </c>
      <c r="R364">
        <f t="shared" si="11"/>
        <v>1</v>
      </c>
    </row>
    <row r="365" spans="1:18" x14ac:dyDescent="0.35">
      <c r="A365" s="11" t="s">
        <v>82</v>
      </c>
      <c r="B365" s="11" t="s">
        <v>1031</v>
      </c>
      <c r="C365" s="11" t="s">
        <v>1032</v>
      </c>
      <c r="D365" s="11" t="s">
        <v>176</v>
      </c>
      <c r="E365" s="11" t="s">
        <v>177</v>
      </c>
      <c r="F365" s="11" t="s">
        <v>178</v>
      </c>
      <c r="G365" s="11" t="s">
        <v>179</v>
      </c>
      <c r="I365" t="s">
        <v>1032</v>
      </c>
      <c r="K365" t="s">
        <v>179</v>
      </c>
      <c r="L365" t="s">
        <v>176</v>
      </c>
      <c r="M365" t="s">
        <v>177</v>
      </c>
      <c r="N365" t="s">
        <v>2459</v>
      </c>
      <c r="O365" t="s">
        <v>2459</v>
      </c>
      <c r="Q365">
        <f t="shared" si="10"/>
        <v>1</v>
      </c>
      <c r="R365">
        <f t="shared" si="11"/>
        <v>1</v>
      </c>
    </row>
    <row r="366" spans="1:18" x14ac:dyDescent="0.35">
      <c r="A366" s="11" t="s">
        <v>82</v>
      </c>
      <c r="B366" s="11" t="s">
        <v>1033</v>
      </c>
      <c r="C366" s="11" t="s">
        <v>1034</v>
      </c>
      <c r="D366" s="11" t="s">
        <v>176</v>
      </c>
      <c r="E366" s="11" t="s">
        <v>177</v>
      </c>
      <c r="F366" s="11" t="s">
        <v>178</v>
      </c>
      <c r="G366" s="11" t="s">
        <v>179</v>
      </c>
      <c r="I366" t="s">
        <v>1034</v>
      </c>
      <c r="K366" t="s">
        <v>179</v>
      </c>
      <c r="L366" t="s">
        <v>176</v>
      </c>
      <c r="M366" t="s">
        <v>177</v>
      </c>
      <c r="N366" t="s">
        <v>2459</v>
      </c>
      <c r="O366" t="s">
        <v>2459</v>
      </c>
      <c r="Q366">
        <f t="shared" si="10"/>
        <v>1</v>
      </c>
      <c r="R366">
        <f t="shared" si="11"/>
        <v>1</v>
      </c>
    </row>
    <row r="367" spans="1:18" x14ac:dyDescent="0.35">
      <c r="A367" s="11" t="s">
        <v>82</v>
      </c>
      <c r="B367" s="11" t="s">
        <v>1035</v>
      </c>
      <c r="C367" s="11" t="s">
        <v>1036</v>
      </c>
      <c r="D367" s="11" t="s">
        <v>176</v>
      </c>
      <c r="E367" s="11" t="s">
        <v>177</v>
      </c>
      <c r="F367" s="11" t="s">
        <v>178</v>
      </c>
      <c r="G367" s="11" t="s">
        <v>179</v>
      </c>
      <c r="I367" t="s">
        <v>1036</v>
      </c>
      <c r="K367" t="s">
        <v>179</v>
      </c>
      <c r="L367" t="s">
        <v>176</v>
      </c>
      <c r="M367" t="s">
        <v>177</v>
      </c>
      <c r="N367" t="s">
        <v>2459</v>
      </c>
      <c r="O367" t="s">
        <v>2459</v>
      </c>
      <c r="Q367">
        <f t="shared" si="10"/>
        <v>1</v>
      </c>
      <c r="R367">
        <f t="shared" si="11"/>
        <v>1</v>
      </c>
    </row>
    <row r="368" spans="1:18" x14ac:dyDescent="0.35">
      <c r="A368" s="11" t="s">
        <v>82</v>
      </c>
      <c r="B368" s="11" t="s">
        <v>1037</v>
      </c>
      <c r="C368" s="11" t="s">
        <v>182</v>
      </c>
      <c r="D368" s="11" t="s">
        <v>176</v>
      </c>
      <c r="E368" s="11" t="s">
        <v>177</v>
      </c>
      <c r="F368" s="11" t="s">
        <v>181</v>
      </c>
      <c r="G368" s="11" t="s">
        <v>182</v>
      </c>
      <c r="I368" t="s">
        <v>182</v>
      </c>
      <c r="K368" t="s">
        <v>182</v>
      </c>
      <c r="L368" t="s">
        <v>176</v>
      </c>
      <c r="M368" t="s">
        <v>177</v>
      </c>
      <c r="N368" t="s">
        <v>2459</v>
      </c>
      <c r="O368" t="s">
        <v>2459</v>
      </c>
      <c r="Q368">
        <f t="shared" si="10"/>
        <v>1</v>
      </c>
      <c r="R368">
        <f t="shared" si="11"/>
        <v>1</v>
      </c>
    </row>
    <row r="369" spans="1:18" x14ac:dyDescent="0.35">
      <c r="A369" s="11" t="s">
        <v>82</v>
      </c>
      <c r="B369" s="11" t="s">
        <v>1038</v>
      </c>
      <c r="C369" s="11" t="s">
        <v>1039</v>
      </c>
      <c r="D369" s="11" t="s">
        <v>176</v>
      </c>
      <c r="E369" s="11" t="s">
        <v>177</v>
      </c>
      <c r="F369" s="11" t="s">
        <v>181</v>
      </c>
      <c r="G369" s="11" t="s">
        <v>182</v>
      </c>
      <c r="I369" t="s">
        <v>1039</v>
      </c>
      <c r="K369" t="s">
        <v>182</v>
      </c>
      <c r="L369" t="s">
        <v>176</v>
      </c>
      <c r="M369" t="s">
        <v>177</v>
      </c>
      <c r="N369" t="s">
        <v>2459</v>
      </c>
      <c r="O369" t="s">
        <v>2459</v>
      </c>
      <c r="Q369">
        <f t="shared" si="10"/>
        <v>1</v>
      </c>
      <c r="R369">
        <f t="shared" si="11"/>
        <v>1</v>
      </c>
    </row>
    <row r="370" spans="1:18" x14ac:dyDescent="0.35">
      <c r="A370" s="11" t="s">
        <v>82</v>
      </c>
      <c r="B370" s="11" t="s">
        <v>1040</v>
      </c>
      <c r="C370" s="11" t="s">
        <v>1041</v>
      </c>
      <c r="D370" s="11" t="s">
        <v>176</v>
      </c>
      <c r="E370" s="11" t="s">
        <v>177</v>
      </c>
      <c r="F370" s="11" t="s">
        <v>181</v>
      </c>
      <c r="G370" s="11" t="s">
        <v>182</v>
      </c>
      <c r="I370" t="s">
        <v>1041</v>
      </c>
      <c r="K370" t="s">
        <v>182</v>
      </c>
      <c r="L370" t="s">
        <v>176</v>
      </c>
      <c r="M370" t="s">
        <v>177</v>
      </c>
      <c r="N370" t="s">
        <v>2459</v>
      </c>
      <c r="O370" t="s">
        <v>2459</v>
      </c>
      <c r="Q370">
        <f t="shared" si="10"/>
        <v>1</v>
      </c>
      <c r="R370">
        <f t="shared" si="11"/>
        <v>1</v>
      </c>
    </row>
    <row r="371" spans="1:18" x14ac:dyDescent="0.35">
      <c r="A371" s="11" t="s">
        <v>82</v>
      </c>
      <c r="B371" s="11" t="s">
        <v>1042</v>
      </c>
      <c r="C371" s="11" t="s">
        <v>1043</v>
      </c>
      <c r="D371" s="11" t="s">
        <v>176</v>
      </c>
      <c r="E371" s="11" t="s">
        <v>177</v>
      </c>
      <c r="F371" s="11" t="s">
        <v>181</v>
      </c>
      <c r="G371" s="11" t="s">
        <v>182</v>
      </c>
      <c r="I371" t="s">
        <v>1043</v>
      </c>
      <c r="K371" t="s">
        <v>182</v>
      </c>
      <c r="L371" t="s">
        <v>176</v>
      </c>
      <c r="M371" t="s">
        <v>177</v>
      </c>
      <c r="N371" t="s">
        <v>2459</v>
      </c>
      <c r="O371" t="s">
        <v>2459</v>
      </c>
      <c r="Q371">
        <f t="shared" si="10"/>
        <v>1</v>
      </c>
      <c r="R371">
        <f t="shared" si="11"/>
        <v>1</v>
      </c>
    </row>
    <row r="372" spans="1:18" x14ac:dyDescent="0.35">
      <c r="A372" s="11" t="s">
        <v>82</v>
      </c>
      <c r="B372" s="11" t="s">
        <v>1044</v>
      </c>
      <c r="C372" s="11" t="s">
        <v>1045</v>
      </c>
      <c r="D372" s="11" t="s">
        <v>176</v>
      </c>
      <c r="E372" s="11" t="s">
        <v>177</v>
      </c>
      <c r="F372" s="11" t="s">
        <v>181</v>
      </c>
      <c r="G372" s="11" t="s">
        <v>182</v>
      </c>
      <c r="I372" t="s">
        <v>1045</v>
      </c>
      <c r="K372" t="s">
        <v>182</v>
      </c>
      <c r="L372" t="s">
        <v>176</v>
      </c>
      <c r="M372" t="s">
        <v>177</v>
      </c>
      <c r="N372" t="s">
        <v>2459</v>
      </c>
      <c r="O372" t="s">
        <v>2459</v>
      </c>
      <c r="Q372">
        <f t="shared" si="10"/>
        <v>1</v>
      </c>
      <c r="R372">
        <f t="shared" si="11"/>
        <v>1</v>
      </c>
    </row>
    <row r="373" spans="1:18" x14ac:dyDescent="0.35">
      <c r="A373" s="11" t="s">
        <v>82</v>
      </c>
      <c r="B373" s="11" t="s">
        <v>1046</v>
      </c>
      <c r="C373" s="11" t="s">
        <v>1047</v>
      </c>
      <c r="D373" s="11" t="s">
        <v>176</v>
      </c>
      <c r="E373" s="11" t="s">
        <v>177</v>
      </c>
      <c r="F373" s="11" t="s">
        <v>181</v>
      </c>
      <c r="G373" s="11" t="s">
        <v>182</v>
      </c>
      <c r="I373" t="s">
        <v>1047</v>
      </c>
      <c r="K373" t="s">
        <v>182</v>
      </c>
      <c r="L373" t="s">
        <v>176</v>
      </c>
      <c r="M373" t="s">
        <v>177</v>
      </c>
      <c r="N373" t="s">
        <v>2459</v>
      </c>
      <c r="O373" t="s">
        <v>2459</v>
      </c>
      <c r="Q373">
        <f t="shared" si="10"/>
        <v>1</v>
      </c>
      <c r="R373">
        <f t="shared" si="11"/>
        <v>1</v>
      </c>
    </row>
    <row r="374" spans="1:18" x14ac:dyDescent="0.35">
      <c r="A374" s="11" t="s">
        <v>82</v>
      </c>
      <c r="B374" s="11" t="s">
        <v>1048</v>
      </c>
      <c r="C374" s="11" t="s">
        <v>1049</v>
      </c>
      <c r="D374" s="11" t="s">
        <v>176</v>
      </c>
      <c r="E374" s="11" t="s">
        <v>177</v>
      </c>
      <c r="F374" s="11" t="s">
        <v>184</v>
      </c>
      <c r="G374" s="11" t="s">
        <v>185</v>
      </c>
      <c r="I374" t="s">
        <v>1049</v>
      </c>
      <c r="K374" t="s">
        <v>185</v>
      </c>
      <c r="L374" t="s">
        <v>176</v>
      </c>
      <c r="M374" t="s">
        <v>177</v>
      </c>
      <c r="N374" t="s">
        <v>2459</v>
      </c>
      <c r="O374" t="s">
        <v>2459</v>
      </c>
      <c r="Q374">
        <f t="shared" si="10"/>
        <v>1</v>
      </c>
      <c r="R374">
        <f t="shared" si="11"/>
        <v>1</v>
      </c>
    </row>
    <row r="375" spans="1:18" x14ac:dyDescent="0.35">
      <c r="A375" s="11" t="s">
        <v>82</v>
      </c>
      <c r="B375" s="11" t="s">
        <v>1050</v>
      </c>
      <c r="C375" s="11" t="s">
        <v>1051</v>
      </c>
      <c r="D375" s="11" t="s">
        <v>176</v>
      </c>
      <c r="E375" s="11" t="s">
        <v>177</v>
      </c>
      <c r="F375" s="11" t="s">
        <v>184</v>
      </c>
      <c r="G375" s="11" t="s">
        <v>185</v>
      </c>
      <c r="I375" t="s">
        <v>1051</v>
      </c>
      <c r="K375" t="s">
        <v>185</v>
      </c>
      <c r="L375" t="s">
        <v>176</v>
      </c>
      <c r="M375" t="s">
        <v>177</v>
      </c>
      <c r="N375" t="s">
        <v>2459</v>
      </c>
      <c r="O375" t="s">
        <v>2459</v>
      </c>
      <c r="Q375">
        <f t="shared" si="10"/>
        <v>1</v>
      </c>
      <c r="R375">
        <f t="shared" si="11"/>
        <v>1</v>
      </c>
    </row>
    <row r="376" spans="1:18" x14ac:dyDescent="0.35">
      <c r="A376" s="11" t="s">
        <v>82</v>
      </c>
      <c r="B376" s="11" t="s">
        <v>1052</v>
      </c>
      <c r="C376" s="11" t="s">
        <v>1053</v>
      </c>
      <c r="D376" s="11" t="s">
        <v>176</v>
      </c>
      <c r="E376" s="11" t="s">
        <v>177</v>
      </c>
      <c r="F376" s="11" t="s">
        <v>184</v>
      </c>
      <c r="G376" s="11" t="s">
        <v>185</v>
      </c>
      <c r="I376" t="s">
        <v>1053</v>
      </c>
      <c r="K376" t="s">
        <v>185</v>
      </c>
      <c r="L376" t="s">
        <v>176</v>
      </c>
      <c r="M376" t="s">
        <v>177</v>
      </c>
      <c r="N376" t="s">
        <v>2459</v>
      </c>
      <c r="O376" t="s">
        <v>2459</v>
      </c>
      <c r="Q376">
        <f t="shared" si="10"/>
        <v>1</v>
      </c>
      <c r="R376">
        <f t="shared" si="11"/>
        <v>1</v>
      </c>
    </row>
    <row r="377" spans="1:18" x14ac:dyDescent="0.35">
      <c r="A377" s="11" t="s">
        <v>82</v>
      </c>
      <c r="B377" s="11" t="s">
        <v>1054</v>
      </c>
      <c r="C377" s="11" t="s">
        <v>1055</v>
      </c>
      <c r="D377" s="11" t="s">
        <v>187</v>
      </c>
      <c r="E377" s="11" t="s">
        <v>188</v>
      </c>
      <c r="F377" s="11" t="s">
        <v>189</v>
      </c>
      <c r="G377" s="11" t="s">
        <v>190</v>
      </c>
      <c r="I377" t="s">
        <v>1055</v>
      </c>
      <c r="K377" t="s">
        <v>190</v>
      </c>
      <c r="L377" t="s">
        <v>187</v>
      </c>
      <c r="M377" t="s">
        <v>188</v>
      </c>
      <c r="N377" t="s">
        <v>2459</v>
      </c>
      <c r="O377" t="s">
        <v>2459</v>
      </c>
      <c r="Q377">
        <f t="shared" si="10"/>
        <v>1</v>
      </c>
      <c r="R377">
        <f t="shared" si="11"/>
        <v>1</v>
      </c>
    </row>
    <row r="378" spans="1:18" x14ac:dyDescent="0.35">
      <c r="A378" s="11" t="s">
        <v>82</v>
      </c>
      <c r="B378" s="11" t="s">
        <v>1056</v>
      </c>
      <c r="C378" s="11" t="s">
        <v>190</v>
      </c>
      <c r="D378" s="11" t="s">
        <v>187</v>
      </c>
      <c r="E378" s="11" t="s">
        <v>188</v>
      </c>
      <c r="F378" s="11" t="s">
        <v>189</v>
      </c>
      <c r="G378" s="11" t="s">
        <v>190</v>
      </c>
      <c r="I378" t="s">
        <v>190</v>
      </c>
      <c r="K378" t="s">
        <v>190</v>
      </c>
      <c r="L378" t="s">
        <v>187</v>
      </c>
      <c r="M378" t="s">
        <v>188</v>
      </c>
      <c r="N378" t="s">
        <v>2459</v>
      </c>
      <c r="O378" t="s">
        <v>2459</v>
      </c>
      <c r="Q378">
        <f t="shared" si="10"/>
        <v>1</v>
      </c>
      <c r="R378">
        <f t="shared" si="11"/>
        <v>1</v>
      </c>
    </row>
    <row r="379" spans="1:18" x14ac:dyDescent="0.35">
      <c r="A379" s="11" t="s">
        <v>82</v>
      </c>
      <c r="B379" s="11" t="s">
        <v>1057</v>
      </c>
      <c r="C379" s="11" t="s">
        <v>1058</v>
      </c>
      <c r="D379" s="11" t="s">
        <v>187</v>
      </c>
      <c r="E379" s="11" t="s">
        <v>188</v>
      </c>
      <c r="F379" s="11" t="s">
        <v>189</v>
      </c>
      <c r="G379" s="11" t="s">
        <v>190</v>
      </c>
      <c r="I379" t="s">
        <v>1058</v>
      </c>
      <c r="K379" t="s">
        <v>190</v>
      </c>
      <c r="L379" t="s">
        <v>187</v>
      </c>
      <c r="M379" t="s">
        <v>188</v>
      </c>
      <c r="N379" t="s">
        <v>2459</v>
      </c>
      <c r="O379" t="s">
        <v>2459</v>
      </c>
      <c r="Q379">
        <f t="shared" si="10"/>
        <v>1</v>
      </c>
      <c r="R379">
        <f t="shared" si="11"/>
        <v>1</v>
      </c>
    </row>
    <row r="380" spans="1:18" x14ac:dyDescent="0.35">
      <c r="A380" s="11" t="s">
        <v>82</v>
      </c>
      <c r="B380" s="11" t="s">
        <v>1059</v>
      </c>
      <c r="C380" s="11" t="s">
        <v>1060</v>
      </c>
      <c r="D380" s="11" t="s">
        <v>187</v>
      </c>
      <c r="E380" s="11" t="s">
        <v>188</v>
      </c>
      <c r="F380" s="11" t="s">
        <v>189</v>
      </c>
      <c r="G380" s="11" t="s">
        <v>190</v>
      </c>
      <c r="I380" t="s">
        <v>1060</v>
      </c>
      <c r="K380" t="s">
        <v>190</v>
      </c>
      <c r="L380" t="s">
        <v>187</v>
      </c>
      <c r="M380" t="s">
        <v>188</v>
      </c>
      <c r="N380" t="s">
        <v>2459</v>
      </c>
      <c r="O380" t="s">
        <v>2459</v>
      </c>
      <c r="Q380">
        <f t="shared" si="10"/>
        <v>1</v>
      </c>
      <c r="R380">
        <f t="shared" si="11"/>
        <v>1</v>
      </c>
    </row>
    <row r="381" spans="1:18" x14ac:dyDescent="0.35">
      <c r="A381" s="11" t="s">
        <v>82</v>
      </c>
      <c r="B381" s="11" t="s">
        <v>1061</v>
      </c>
      <c r="C381" s="11" t="s">
        <v>1062</v>
      </c>
      <c r="D381" s="11" t="s">
        <v>187</v>
      </c>
      <c r="E381" s="11" t="s">
        <v>188</v>
      </c>
      <c r="F381" s="11" t="s">
        <v>189</v>
      </c>
      <c r="G381" s="11" t="s">
        <v>190</v>
      </c>
      <c r="I381" t="s">
        <v>1062</v>
      </c>
      <c r="K381" t="s">
        <v>190</v>
      </c>
      <c r="L381" t="s">
        <v>187</v>
      </c>
      <c r="M381" t="s">
        <v>188</v>
      </c>
      <c r="N381" t="s">
        <v>2459</v>
      </c>
      <c r="O381" t="s">
        <v>2459</v>
      </c>
      <c r="Q381">
        <f t="shared" si="10"/>
        <v>1</v>
      </c>
      <c r="R381">
        <f t="shared" si="11"/>
        <v>1</v>
      </c>
    </row>
    <row r="382" spans="1:18" x14ac:dyDescent="0.35">
      <c r="A382" s="11" t="s">
        <v>82</v>
      </c>
      <c r="B382" s="11" t="s">
        <v>1063</v>
      </c>
      <c r="C382" s="11" t="s">
        <v>1064</v>
      </c>
      <c r="D382" s="11" t="s">
        <v>187</v>
      </c>
      <c r="E382" s="11" t="s">
        <v>188</v>
      </c>
      <c r="F382" s="11" t="s">
        <v>189</v>
      </c>
      <c r="G382" s="11" t="s">
        <v>190</v>
      </c>
      <c r="I382" t="s">
        <v>1064</v>
      </c>
      <c r="K382" t="s">
        <v>190</v>
      </c>
      <c r="L382" t="s">
        <v>187</v>
      </c>
      <c r="M382" t="s">
        <v>188</v>
      </c>
      <c r="N382" t="s">
        <v>2459</v>
      </c>
      <c r="O382" t="s">
        <v>2459</v>
      </c>
      <c r="Q382">
        <f t="shared" si="10"/>
        <v>1</v>
      </c>
      <c r="R382">
        <f t="shared" si="11"/>
        <v>1</v>
      </c>
    </row>
    <row r="383" spans="1:18" x14ac:dyDescent="0.35">
      <c r="A383" s="11" t="s">
        <v>82</v>
      </c>
      <c r="B383" s="11" t="s">
        <v>1065</v>
      </c>
      <c r="C383" s="11" t="s">
        <v>1066</v>
      </c>
      <c r="D383" s="11" t="s">
        <v>187</v>
      </c>
      <c r="E383" s="11" t="s">
        <v>188</v>
      </c>
      <c r="F383" s="11" t="s">
        <v>189</v>
      </c>
      <c r="G383" s="11" t="s">
        <v>190</v>
      </c>
      <c r="I383" t="s">
        <v>1066</v>
      </c>
      <c r="K383" t="s">
        <v>190</v>
      </c>
      <c r="L383" t="s">
        <v>187</v>
      </c>
      <c r="M383" t="s">
        <v>188</v>
      </c>
      <c r="N383" t="s">
        <v>2459</v>
      </c>
      <c r="O383" t="s">
        <v>2459</v>
      </c>
      <c r="Q383">
        <f t="shared" si="10"/>
        <v>1</v>
      </c>
      <c r="R383">
        <f t="shared" si="11"/>
        <v>1</v>
      </c>
    </row>
    <row r="384" spans="1:18" x14ac:dyDescent="0.35">
      <c r="A384" s="11" t="s">
        <v>82</v>
      </c>
      <c r="B384" s="11" t="s">
        <v>1067</v>
      </c>
      <c r="C384" s="11" t="s">
        <v>1068</v>
      </c>
      <c r="D384" s="11" t="s">
        <v>187</v>
      </c>
      <c r="E384" s="11" t="s">
        <v>188</v>
      </c>
      <c r="F384" s="11" t="s">
        <v>192</v>
      </c>
      <c r="G384" s="11" t="s">
        <v>193</v>
      </c>
      <c r="I384" t="s">
        <v>1068</v>
      </c>
      <c r="K384" t="s">
        <v>193</v>
      </c>
      <c r="L384" t="s">
        <v>187</v>
      </c>
      <c r="M384" t="s">
        <v>188</v>
      </c>
      <c r="N384" t="s">
        <v>2459</v>
      </c>
      <c r="O384" t="s">
        <v>2459</v>
      </c>
      <c r="Q384">
        <f t="shared" si="10"/>
        <v>1</v>
      </c>
      <c r="R384">
        <f t="shared" si="11"/>
        <v>1</v>
      </c>
    </row>
    <row r="385" spans="1:18" x14ac:dyDescent="0.35">
      <c r="A385" s="11" t="s">
        <v>82</v>
      </c>
      <c r="B385" s="11" t="s">
        <v>1069</v>
      </c>
      <c r="C385" s="11" t="s">
        <v>1070</v>
      </c>
      <c r="D385" s="11" t="s">
        <v>187</v>
      </c>
      <c r="E385" s="11" t="s">
        <v>188</v>
      </c>
      <c r="F385" s="11" t="s">
        <v>192</v>
      </c>
      <c r="G385" s="11" t="s">
        <v>193</v>
      </c>
      <c r="I385" t="s">
        <v>1070</v>
      </c>
      <c r="K385" t="s">
        <v>193</v>
      </c>
      <c r="L385" t="s">
        <v>187</v>
      </c>
      <c r="M385" t="s">
        <v>188</v>
      </c>
      <c r="N385" t="s">
        <v>2459</v>
      </c>
      <c r="O385" t="s">
        <v>2459</v>
      </c>
      <c r="Q385">
        <f t="shared" si="10"/>
        <v>1</v>
      </c>
      <c r="R385">
        <f t="shared" si="11"/>
        <v>1</v>
      </c>
    </row>
    <row r="386" spans="1:18" x14ac:dyDescent="0.35">
      <c r="A386" s="11" t="s">
        <v>82</v>
      </c>
      <c r="B386" s="11" t="s">
        <v>1071</v>
      </c>
      <c r="C386" s="11" t="s">
        <v>1072</v>
      </c>
      <c r="D386" s="11" t="s">
        <v>187</v>
      </c>
      <c r="E386" s="11" t="s">
        <v>188</v>
      </c>
      <c r="F386" s="11" t="s">
        <v>192</v>
      </c>
      <c r="G386" s="11" t="s">
        <v>193</v>
      </c>
      <c r="I386" t="s">
        <v>1072</v>
      </c>
      <c r="K386" t="s">
        <v>193</v>
      </c>
      <c r="L386" t="s">
        <v>187</v>
      </c>
      <c r="M386" t="s">
        <v>188</v>
      </c>
      <c r="N386" t="s">
        <v>2459</v>
      </c>
      <c r="O386" t="s">
        <v>2459</v>
      </c>
      <c r="Q386">
        <f t="shared" si="10"/>
        <v>1</v>
      </c>
      <c r="R386">
        <f t="shared" si="11"/>
        <v>1</v>
      </c>
    </row>
    <row r="387" spans="1:18" x14ac:dyDescent="0.35">
      <c r="A387" s="11" t="s">
        <v>82</v>
      </c>
      <c r="B387" s="11" t="s">
        <v>1073</v>
      </c>
      <c r="C387" s="11" t="s">
        <v>1074</v>
      </c>
      <c r="D387" s="11" t="s">
        <v>187</v>
      </c>
      <c r="E387" s="11" t="s">
        <v>188</v>
      </c>
      <c r="F387" s="11" t="s">
        <v>192</v>
      </c>
      <c r="G387" s="11" t="s">
        <v>193</v>
      </c>
      <c r="I387" t="s">
        <v>1074</v>
      </c>
      <c r="K387" t="s">
        <v>193</v>
      </c>
      <c r="L387" t="s">
        <v>187</v>
      </c>
      <c r="M387" t="s">
        <v>188</v>
      </c>
      <c r="N387" t="s">
        <v>2459</v>
      </c>
      <c r="O387" t="s">
        <v>2459</v>
      </c>
      <c r="Q387">
        <f t="shared" ref="Q387:Q450" si="12">MATCH(G387,K387,0)</f>
        <v>1</v>
      </c>
      <c r="R387">
        <f t="shared" ref="R387:R450" si="13">MATCH(E387,M387,0)</f>
        <v>1</v>
      </c>
    </row>
    <row r="388" spans="1:18" x14ac:dyDescent="0.35">
      <c r="A388" s="11" t="s">
        <v>82</v>
      </c>
      <c r="B388" s="11" t="s">
        <v>1075</v>
      </c>
      <c r="C388" s="11" t="s">
        <v>1076</v>
      </c>
      <c r="D388" s="11" t="s">
        <v>187</v>
      </c>
      <c r="E388" s="11" t="s">
        <v>188</v>
      </c>
      <c r="F388" s="11" t="s">
        <v>192</v>
      </c>
      <c r="G388" s="11" t="s">
        <v>193</v>
      </c>
      <c r="I388" t="s">
        <v>1076</v>
      </c>
      <c r="K388" t="s">
        <v>193</v>
      </c>
      <c r="L388" t="s">
        <v>187</v>
      </c>
      <c r="M388" t="s">
        <v>188</v>
      </c>
      <c r="N388" t="s">
        <v>2459</v>
      </c>
      <c r="O388" t="s">
        <v>2459</v>
      </c>
      <c r="Q388">
        <f t="shared" si="12"/>
        <v>1</v>
      </c>
      <c r="R388">
        <f t="shared" si="13"/>
        <v>1</v>
      </c>
    </row>
    <row r="389" spans="1:18" x14ac:dyDescent="0.35">
      <c r="A389" s="11"/>
      <c r="B389" s="11"/>
      <c r="C389" s="11"/>
      <c r="D389" s="11"/>
      <c r="E389" s="11"/>
      <c r="F389" s="11"/>
      <c r="G389" s="11"/>
      <c r="I389" t="s">
        <v>2139</v>
      </c>
      <c r="K389" t="s">
        <v>182</v>
      </c>
      <c r="L389" t="s">
        <v>176</v>
      </c>
      <c r="M389" t="s">
        <v>177</v>
      </c>
      <c r="N389" t="s">
        <v>2410</v>
      </c>
      <c r="O389" t="s">
        <v>2410</v>
      </c>
      <c r="P389" t="s">
        <v>2256</v>
      </c>
      <c r="Q389" t="e">
        <f t="shared" si="12"/>
        <v>#N/A</v>
      </c>
      <c r="R389" t="e">
        <f t="shared" si="13"/>
        <v>#N/A</v>
      </c>
    </row>
    <row r="390" spans="1:18" x14ac:dyDescent="0.35">
      <c r="A390" s="11"/>
      <c r="B390" s="11"/>
      <c r="C390" s="11"/>
      <c r="D390" s="11"/>
      <c r="E390" s="11"/>
      <c r="F390" s="11"/>
      <c r="G390" s="11"/>
      <c r="I390" t="s">
        <v>2140</v>
      </c>
      <c r="K390" t="s">
        <v>182</v>
      </c>
      <c r="L390" t="s">
        <v>176</v>
      </c>
      <c r="M390" t="s">
        <v>177</v>
      </c>
      <c r="N390" t="s">
        <v>2410</v>
      </c>
      <c r="O390" t="s">
        <v>2410</v>
      </c>
      <c r="P390" t="s">
        <v>2256</v>
      </c>
      <c r="Q390" t="e">
        <f t="shared" si="12"/>
        <v>#N/A</v>
      </c>
      <c r="R390" t="e">
        <f t="shared" si="13"/>
        <v>#N/A</v>
      </c>
    </row>
    <row r="391" spans="1:18" x14ac:dyDescent="0.35">
      <c r="A391" s="11" t="s">
        <v>82</v>
      </c>
      <c r="B391" s="11" t="s">
        <v>1077</v>
      </c>
      <c r="C391" s="11" t="s">
        <v>1078</v>
      </c>
      <c r="D391" s="11" t="s">
        <v>187</v>
      </c>
      <c r="E391" s="11" t="s">
        <v>188</v>
      </c>
      <c r="F391" s="11" t="s">
        <v>195</v>
      </c>
      <c r="G391" s="11" t="s">
        <v>196</v>
      </c>
      <c r="I391" t="s">
        <v>1078</v>
      </c>
      <c r="K391" t="s">
        <v>196</v>
      </c>
      <c r="L391" t="s">
        <v>187</v>
      </c>
      <c r="M391" t="s">
        <v>188</v>
      </c>
      <c r="N391" t="s">
        <v>2459</v>
      </c>
      <c r="O391" t="s">
        <v>2459</v>
      </c>
      <c r="Q391">
        <f t="shared" si="12"/>
        <v>1</v>
      </c>
      <c r="R391">
        <f t="shared" si="13"/>
        <v>1</v>
      </c>
    </row>
    <row r="392" spans="1:18" x14ac:dyDescent="0.35">
      <c r="A392" s="11" t="s">
        <v>82</v>
      </c>
      <c r="B392" s="11" t="s">
        <v>1079</v>
      </c>
      <c r="C392" s="11" t="s">
        <v>196</v>
      </c>
      <c r="D392" s="11" t="s">
        <v>187</v>
      </c>
      <c r="E392" s="11" t="s">
        <v>188</v>
      </c>
      <c r="F392" s="11" t="s">
        <v>195</v>
      </c>
      <c r="G392" s="11" t="s">
        <v>196</v>
      </c>
      <c r="I392" t="s">
        <v>196</v>
      </c>
      <c r="K392" t="s">
        <v>196</v>
      </c>
      <c r="L392" t="s">
        <v>187</v>
      </c>
      <c r="M392" t="s">
        <v>188</v>
      </c>
      <c r="N392" t="s">
        <v>2459</v>
      </c>
      <c r="O392" t="s">
        <v>2459</v>
      </c>
      <c r="Q392">
        <f t="shared" si="12"/>
        <v>1</v>
      </c>
      <c r="R392">
        <f t="shared" si="13"/>
        <v>1</v>
      </c>
    </row>
    <row r="393" spans="1:18" x14ac:dyDescent="0.35">
      <c r="A393" s="11" t="s">
        <v>82</v>
      </c>
      <c r="B393" s="11" t="s">
        <v>1080</v>
      </c>
      <c r="C393" s="11" t="s">
        <v>1081</v>
      </c>
      <c r="D393" s="11" t="s">
        <v>187</v>
      </c>
      <c r="E393" s="11" t="s">
        <v>188</v>
      </c>
      <c r="F393" s="11" t="s">
        <v>195</v>
      </c>
      <c r="G393" s="11" t="s">
        <v>196</v>
      </c>
      <c r="I393" t="s">
        <v>1081</v>
      </c>
      <c r="K393" t="s">
        <v>196</v>
      </c>
      <c r="L393" t="s">
        <v>187</v>
      </c>
      <c r="M393" t="s">
        <v>188</v>
      </c>
      <c r="N393" t="s">
        <v>2459</v>
      </c>
      <c r="O393" t="s">
        <v>2459</v>
      </c>
      <c r="Q393">
        <f t="shared" si="12"/>
        <v>1</v>
      </c>
      <c r="R393">
        <f t="shared" si="13"/>
        <v>1</v>
      </c>
    </row>
    <row r="394" spans="1:18" x14ac:dyDescent="0.35">
      <c r="A394" s="11" t="s">
        <v>82</v>
      </c>
      <c r="B394" s="11" t="s">
        <v>1082</v>
      </c>
      <c r="C394" s="11" t="s">
        <v>1083</v>
      </c>
      <c r="D394" s="11" t="s">
        <v>187</v>
      </c>
      <c r="E394" s="11" t="s">
        <v>188</v>
      </c>
      <c r="F394" s="11" t="s">
        <v>195</v>
      </c>
      <c r="G394" s="11" t="s">
        <v>196</v>
      </c>
      <c r="I394" t="s">
        <v>1083</v>
      </c>
      <c r="K394" t="s">
        <v>196</v>
      </c>
      <c r="L394" t="s">
        <v>187</v>
      </c>
      <c r="M394" t="s">
        <v>188</v>
      </c>
      <c r="N394" t="s">
        <v>2459</v>
      </c>
      <c r="O394" t="s">
        <v>2459</v>
      </c>
      <c r="Q394">
        <f t="shared" si="12"/>
        <v>1</v>
      </c>
      <c r="R394">
        <f t="shared" si="13"/>
        <v>1</v>
      </c>
    </row>
    <row r="395" spans="1:18" x14ac:dyDescent="0.35">
      <c r="A395" s="11" t="s">
        <v>82</v>
      </c>
      <c r="B395" s="11" t="s">
        <v>1084</v>
      </c>
      <c r="C395" s="11" t="s">
        <v>1085</v>
      </c>
      <c r="D395" s="11" t="s">
        <v>187</v>
      </c>
      <c r="E395" s="11" t="s">
        <v>188</v>
      </c>
      <c r="F395" s="11" t="s">
        <v>195</v>
      </c>
      <c r="G395" s="11" t="s">
        <v>196</v>
      </c>
      <c r="I395" t="s">
        <v>1085</v>
      </c>
      <c r="K395" t="s">
        <v>196</v>
      </c>
      <c r="L395" t="s">
        <v>187</v>
      </c>
      <c r="M395" t="s">
        <v>188</v>
      </c>
      <c r="N395" t="s">
        <v>2459</v>
      </c>
      <c r="O395" t="s">
        <v>2459</v>
      </c>
      <c r="Q395">
        <f t="shared" si="12"/>
        <v>1</v>
      </c>
      <c r="R395">
        <f t="shared" si="13"/>
        <v>1</v>
      </c>
    </row>
    <row r="396" spans="1:18" x14ac:dyDescent="0.35">
      <c r="A396" s="11" t="s">
        <v>82</v>
      </c>
      <c r="B396" s="11" t="s">
        <v>1086</v>
      </c>
      <c r="C396" s="11" t="s">
        <v>1087</v>
      </c>
      <c r="D396" s="11" t="s">
        <v>187</v>
      </c>
      <c r="E396" s="11" t="s">
        <v>188</v>
      </c>
      <c r="F396" s="11" t="s">
        <v>195</v>
      </c>
      <c r="G396" s="11" t="s">
        <v>196</v>
      </c>
      <c r="I396" t="s">
        <v>1087</v>
      </c>
      <c r="K396" t="s">
        <v>196</v>
      </c>
      <c r="L396" t="s">
        <v>187</v>
      </c>
      <c r="M396" t="s">
        <v>188</v>
      </c>
      <c r="N396" t="s">
        <v>2459</v>
      </c>
      <c r="O396" t="s">
        <v>2459</v>
      </c>
      <c r="Q396">
        <f t="shared" si="12"/>
        <v>1</v>
      </c>
      <c r="R396">
        <f t="shared" si="13"/>
        <v>1</v>
      </c>
    </row>
    <row r="397" spans="1:18" x14ac:dyDescent="0.35">
      <c r="A397" s="11" t="s">
        <v>82</v>
      </c>
      <c r="B397" s="11" t="s">
        <v>1088</v>
      </c>
      <c r="C397" s="11" t="s">
        <v>1089</v>
      </c>
      <c r="D397" s="11" t="s">
        <v>187</v>
      </c>
      <c r="E397" s="11" t="s">
        <v>188</v>
      </c>
      <c r="F397" s="11" t="s">
        <v>195</v>
      </c>
      <c r="G397" s="11" t="s">
        <v>196</v>
      </c>
      <c r="I397" t="s">
        <v>1089</v>
      </c>
      <c r="K397" t="s">
        <v>196</v>
      </c>
      <c r="L397" t="s">
        <v>187</v>
      </c>
      <c r="M397" t="s">
        <v>188</v>
      </c>
      <c r="N397" t="s">
        <v>2459</v>
      </c>
      <c r="O397" t="s">
        <v>2459</v>
      </c>
      <c r="Q397">
        <f t="shared" si="12"/>
        <v>1</v>
      </c>
      <c r="R397">
        <f t="shared" si="13"/>
        <v>1</v>
      </c>
    </row>
    <row r="398" spans="1:18" x14ac:dyDescent="0.35">
      <c r="A398" s="11" t="s">
        <v>82</v>
      </c>
      <c r="B398" s="11" t="s">
        <v>1090</v>
      </c>
      <c r="C398" s="11" t="s">
        <v>1091</v>
      </c>
      <c r="D398" s="11" t="s">
        <v>198</v>
      </c>
      <c r="E398" s="11" t="s">
        <v>199</v>
      </c>
      <c r="F398" s="11" t="s">
        <v>200</v>
      </c>
      <c r="G398" s="11" t="s">
        <v>201</v>
      </c>
      <c r="I398" t="s">
        <v>1091</v>
      </c>
      <c r="K398" t="s">
        <v>212</v>
      </c>
      <c r="L398" t="s">
        <v>206</v>
      </c>
      <c r="M398" t="s">
        <v>207</v>
      </c>
      <c r="N398" t="s">
        <v>2410</v>
      </c>
      <c r="O398" t="s">
        <v>2410</v>
      </c>
      <c r="Q398" t="e">
        <f t="shared" si="12"/>
        <v>#N/A</v>
      </c>
      <c r="R398" t="e">
        <f t="shared" si="13"/>
        <v>#N/A</v>
      </c>
    </row>
    <row r="399" spans="1:18" x14ac:dyDescent="0.35">
      <c r="A399" s="11" t="s">
        <v>82</v>
      </c>
      <c r="B399" s="11" t="s">
        <v>1092</v>
      </c>
      <c r="C399" s="11" t="s">
        <v>1093</v>
      </c>
      <c r="D399" s="11" t="s">
        <v>198</v>
      </c>
      <c r="E399" s="11" t="s">
        <v>199</v>
      </c>
      <c r="F399" s="11" t="s">
        <v>200</v>
      </c>
      <c r="G399" s="11" t="s">
        <v>201</v>
      </c>
      <c r="I399" t="s">
        <v>1093</v>
      </c>
      <c r="K399" t="s">
        <v>212</v>
      </c>
      <c r="L399" t="s">
        <v>206</v>
      </c>
      <c r="M399" t="s">
        <v>207</v>
      </c>
      <c r="N399" t="s">
        <v>2410</v>
      </c>
      <c r="O399" t="s">
        <v>2410</v>
      </c>
      <c r="Q399" t="e">
        <f t="shared" si="12"/>
        <v>#N/A</v>
      </c>
      <c r="R399" t="e">
        <f t="shared" si="13"/>
        <v>#N/A</v>
      </c>
    </row>
    <row r="400" spans="1:18" x14ac:dyDescent="0.35">
      <c r="A400" s="11" t="s">
        <v>82</v>
      </c>
      <c r="B400" s="11" t="s">
        <v>1094</v>
      </c>
      <c r="C400" s="11" t="s">
        <v>1095</v>
      </c>
      <c r="D400" s="11" t="s">
        <v>198</v>
      </c>
      <c r="E400" s="11" t="s">
        <v>199</v>
      </c>
      <c r="F400" s="11" t="s">
        <v>200</v>
      </c>
      <c r="G400" s="11" t="s">
        <v>201</v>
      </c>
      <c r="I400" t="s">
        <v>1095</v>
      </c>
      <c r="K400" t="s">
        <v>201</v>
      </c>
      <c r="L400" t="s">
        <v>198</v>
      </c>
      <c r="M400" t="s">
        <v>199</v>
      </c>
      <c r="N400" t="s">
        <v>2459</v>
      </c>
      <c r="O400" t="s">
        <v>2459</v>
      </c>
      <c r="Q400">
        <f t="shared" si="12"/>
        <v>1</v>
      </c>
      <c r="R400">
        <f t="shared" si="13"/>
        <v>1</v>
      </c>
    </row>
    <row r="401" spans="1:18" x14ac:dyDescent="0.35">
      <c r="A401" s="11" t="s">
        <v>82</v>
      </c>
      <c r="B401" s="11" t="s">
        <v>1096</v>
      </c>
      <c r="C401" s="11" t="s">
        <v>1097</v>
      </c>
      <c r="D401" s="11" t="s">
        <v>198</v>
      </c>
      <c r="E401" s="11" t="s">
        <v>199</v>
      </c>
      <c r="F401" s="11" t="s">
        <v>200</v>
      </c>
      <c r="G401" s="11" t="s">
        <v>201</v>
      </c>
      <c r="I401" t="s">
        <v>1097</v>
      </c>
      <c r="K401" t="s">
        <v>201</v>
      </c>
      <c r="L401" t="s">
        <v>198</v>
      </c>
      <c r="M401" t="s">
        <v>199</v>
      </c>
      <c r="N401" t="s">
        <v>2459</v>
      </c>
      <c r="O401" t="s">
        <v>2459</v>
      </c>
      <c r="Q401">
        <f t="shared" si="12"/>
        <v>1</v>
      </c>
      <c r="R401">
        <f t="shared" si="13"/>
        <v>1</v>
      </c>
    </row>
    <row r="402" spans="1:18" x14ac:dyDescent="0.35">
      <c r="A402" s="11" t="s">
        <v>82</v>
      </c>
      <c r="B402" s="11" t="s">
        <v>1098</v>
      </c>
      <c r="C402" s="11" t="s">
        <v>1099</v>
      </c>
      <c r="D402" s="11" t="s">
        <v>198</v>
      </c>
      <c r="E402" s="11" t="s">
        <v>199</v>
      </c>
      <c r="F402" s="11" t="s">
        <v>200</v>
      </c>
      <c r="G402" s="11" t="s">
        <v>201</v>
      </c>
      <c r="I402" t="s">
        <v>1099</v>
      </c>
      <c r="K402" t="s">
        <v>201</v>
      </c>
      <c r="L402" t="s">
        <v>198</v>
      </c>
      <c r="M402" t="s">
        <v>199</v>
      </c>
      <c r="N402" t="s">
        <v>2459</v>
      </c>
      <c r="O402" t="s">
        <v>2459</v>
      </c>
      <c r="Q402">
        <f t="shared" si="12"/>
        <v>1</v>
      </c>
      <c r="R402">
        <f t="shared" si="13"/>
        <v>1</v>
      </c>
    </row>
    <row r="403" spans="1:18" x14ac:dyDescent="0.35">
      <c r="A403" s="11" t="s">
        <v>82</v>
      </c>
      <c r="B403" s="11" t="s">
        <v>1100</v>
      </c>
      <c r="C403" s="11" t="s">
        <v>201</v>
      </c>
      <c r="D403" s="11" t="s">
        <v>198</v>
      </c>
      <c r="E403" s="11" t="s">
        <v>199</v>
      </c>
      <c r="F403" s="11" t="s">
        <v>200</v>
      </c>
      <c r="G403" s="11" t="s">
        <v>201</v>
      </c>
      <c r="I403" t="s">
        <v>201</v>
      </c>
      <c r="K403" t="s">
        <v>201</v>
      </c>
      <c r="L403" t="s">
        <v>198</v>
      </c>
      <c r="M403" t="s">
        <v>199</v>
      </c>
      <c r="N403" t="s">
        <v>2459</v>
      </c>
      <c r="O403" t="s">
        <v>2459</v>
      </c>
      <c r="Q403">
        <f t="shared" si="12"/>
        <v>1</v>
      </c>
      <c r="R403">
        <f t="shared" si="13"/>
        <v>1</v>
      </c>
    </row>
    <row r="404" spans="1:18" x14ac:dyDescent="0.35">
      <c r="A404" s="11" t="s">
        <v>82</v>
      </c>
      <c r="B404" s="11" t="s">
        <v>1101</v>
      </c>
      <c r="C404" s="11" t="s">
        <v>1102</v>
      </c>
      <c r="D404" s="11" t="s">
        <v>198</v>
      </c>
      <c r="E404" s="11" t="s">
        <v>199</v>
      </c>
      <c r="F404" s="11" t="s">
        <v>200</v>
      </c>
      <c r="G404" s="11" t="s">
        <v>201</v>
      </c>
      <c r="I404" t="s">
        <v>1102</v>
      </c>
      <c r="K404" t="s">
        <v>201</v>
      </c>
      <c r="L404" t="s">
        <v>198</v>
      </c>
      <c r="M404" t="s">
        <v>199</v>
      </c>
      <c r="N404" t="s">
        <v>2459</v>
      </c>
      <c r="O404" t="s">
        <v>2459</v>
      </c>
      <c r="Q404">
        <f t="shared" si="12"/>
        <v>1</v>
      </c>
      <c r="R404">
        <f t="shared" si="13"/>
        <v>1</v>
      </c>
    </row>
    <row r="405" spans="1:18" x14ac:dyDescent="0.35">
      <c r="A405" s="11" t="s">
        <v>82</v>
      </c>
      <c r="B405" s="11" t="s">
        <v>1103</v>
      </c>
      <c r="C405" s="11" t="s">
        <v>1104</v>
      </c>
      <c r="D405" s="11" t="s">
        <v>198</v>
      </c>
      <c r="E405" s="11" t="s">
        <v>199</v>
      </c>
      <c r="F405" s="11" t="s">
        <v>200</v>
      </c>
      <c r="G405" s="11" t="s">
        <v>201</v>
      </c>
      <c r="I405" t="s">
        <v>1104</v>
      </c>
      <c r="K405" t="s">
        <v>212</v>
      </c>
      <c r="L405" t="s">
        <v>206</v>
      </c>
      <c r="M405" t="s">
        <v>207</v>
      </c>
      <c r="N405" t="s">
        <v>2410</v>
      </c>
      <c r="O405" t="s">
        <v>2410</v>
      </c>
      <c r="Q405" t="e">
        <f t="shared" si="12"/>
        <v>#N/A</v>
      </c>
      <c r="R405" t="e">
        <f t="shared" si="13"/>
        <v>#N/A</v>
      </c>
    </row>
    <row r="406" spans="1:18" x14ac:dyDescent="0.35">
      <c r="A406" s="11" t="s">
        <v>82</v>
      </c>
      <c r="B406" s="11" t="s">
        <v>1105</v>
      </c>
      <c r="C406" s="11" t="s">
        <v>1106</v>
      </c>
      <c r="D406" s="11" t="s">
        <v>198</v>
      </c>
      <c r="E406" s="11" t="s">
        <v>199</v>
      </c>
      <c r="F406" s="11" t="s">
        <v>200</v>
      </c>
      <c r="G406" s="11" t="s">
        <v>201</v>
      </c>
      <c r="I406" t="s">
        <v>1106</v>
      </c>
      <c r="K406" t="s">
        <v>201</v>
      </c>
      <c r="L406" t="s">
        <v>198</v>
      </c>
      <c r="M406" t="s">
        <v>199</v>
      </c>
      <c r="N406" t="s">
        <v>2459</v>
      </c>
      <c r="O406" t="s">
        <v>2459</v>
      </c>
      <c r="Q406">
        <f t="shared" si="12"/>
        <v>1</v>
      </c>
      <c r="R406">
        <f t="shared" si="13"/>
        <v>1</v>
      </c>
    </row>
    <row r="407" spans="1:18" x14ac:dyDescent="0.35">
      <c r="A407" s="11" t="s">
        <v>82</v>
      </c>
      <c r="B407" s="11" t="s">
        <v>1107</v>
      </c>
      <c r="C407" s="11" t="s">
        <v>1108</v>
      </c>
      <c r="D407" s="11" t="s">
        <v>198</v>
      </c>
      <c r="E407" s="11" t="s">
        <v>199</v>
      </c>
      <c r="F407" s="11" t="s">
        <v>200</v>
      </c>
      <c r="G407" s="11" t="s">
        <v>201</v>
      </c>
      <c r="I407" t="s">
        <v>1108</v>
      </c>
      <c r="K407" t="s">
        <v>201</v>
      </c>
      <c r="L407" t="s">
        <v>198</v>
      </c>
      <c r="M407" t="s">
        <v>199</v>
      </c>
      <c r="N407" t="s">
        <v>2459</v>
      </c>
      <c r="O407" t="s">
        <v>2459</v>
      </c>
      <c r="Q407">
        <f t="shared" si="12"/>
        <v>1</v>
      </c>
      <c r="R407">
        <f t="shared" si="13"/>
        <v>1</v>
      </c>
    </row>
    <row r="408" spans="1:18" x14ac:dyDescent="0.35">
      <c r="A408" s="11" t="s">
        <v>82</v>
      </c>
      <c r="B408" s="11" t="s">
        <v>1109</v>
      </c>
      <c r="C408" s="11" t="s">
        <v>1110</v>
      </c>
      <c r="D408" s="11" t="s">
        <v>198</v>
      </c>
      <c r="E408" s="11" t="s">
        <v>199</v>
      </c>
      <c r="F408" s="11" t="s">
        <v>200</v>
      </c>
      <c r="G408" s="11" t="s">
        <v>201</v>
      </c>
      <c r="I408" t="s">
        <v>1110</v>
      </c>
      <c r="K408" t="s">
        <v>201</v>
      </c>
      <c r="L408" t="s">
        <v>198</v>
      </c>
      <c r="M408" t="s">
        <v>199</v>
      </c>
      <c r="N408" t="s">
        <v>2459</v>
      </c>
      <c r="O408" t="s">
        <v>2459</v>
      </c>
      <c r="Q408">
        <f t="shared" si="12"/>
        <v>1</v>
      </c>
      <c r="R408">
        <f t="shared" si="13"/>
        <v>1</v>
      </c>
    </row>
    <row r="409" spans="1:18" x14ac:dyDescent="0.35">
      <c r="A409" s="11" t="s">
        <v>82</v>
      </c>
      <c r="B409" s="11" t="s">
        <v>1111</v>
      </c>
      <c r="C409" s="11" t="s">
        <v>1112</v>
      </c>
      <c r="D409" s="11" t="s">
        <v>198</v>
      </c>
      <c r="E409" s="11" t="s">
        <v>199</v>
      </c>
      <c r="F409" s="11" t="s">
        <v>200</v>
      </c>
      <c r="G409" s="11" t="s">
        <v>201</v>
      </c>
      <c r="I409" t="s">
        <v>1112</v>
      </c>
      <c r="K409" t="s">
        <v>201</v>
      </c>
      <c r="L409" t="s">
        <v>198</v>
      </c>
      <c r="M409" t="s">
        <v>199</v>
      </c>
      <c r="N409" t="s">
        <v>2459</v>
      </c>
      <c r="O409" t="s">
        <v>2459</v>
      </c>
      <c r="Q409">
        <f t="shared" si="12"/>
        <v>1</v>
      </c>
      <c r="R409">
        <f t="shared" si="13"/>
        <v>1</v>
      </c>
    </row>
    <row r="410" spans="1:18" x14ac:dyDescent="0.35">
      <c r="A410" s="11" t="s">
        <v>82</v>
      </c>
      <c r="B410" s="11" t="s">
        <v>1113</v>
      </c>
      <c r="C410" s="11" t="s">
        <v>1114</v>
      </c>
      <c r="D410" s="11" t="s">
        <v>198</v>
      </c>
      <c r="E410" s="11" t="s">
        <v>199</v>
      </c>
      <c r="F410" s="11" t="s">
        <v>200</v>
      </c>
      <c r="G410" s="11" t="s">
        <v>201</v>
      </c>
      <c r="I410" t="s">
        <v>1114</v>
      </c>
      <c r="K410" t="s">
        <v>201</v>
      </c>
      <c r="L410" t="s">
        <v>198</v>
      </c>
      <c r="M410" t="s">
        <v>199</v>
      </c>
      <c r="N410" t="s">
        <v>2459</v>
      </c>
      <c r="O410" t="s">
        <v>2459</v>
      </c>
      <c r="Q410">
        <f t="shared" si="12"/>
        <v>1</v>
      </c>
      <c r="R410">
        <f t="shared" si="13"/>
        <v>1</v>
      </c>
    </row>
    <row r="411" spans="1:18" x14ac:dyDescent="0.35">
      <c r="A411" s="11" t="s">
        <v>82</v>
      </c>
      <c r="B411" s="11" t="s">
        <v>1115</v>
      </c>
      <c r="C411" s="11" t="s">
        <v>1116</v>
      </c>
      <c r="D411" s="11" t="s">
        <v>198</v>
      </c>
      <c r="E411" s="11" t="s">
        <v>199</v>
      </c>
      <c r="F411" s="11" t="s">
        <v>200</v>
      </c>
      <c r="G411" s="11" t="s">
        <v>201</v>
      </c>
      <c r="I411" t="s">
        <v>1116</v>
      </c>
      <c r="K411" t="s">
        <v>201</v>
      </c>
      <c r="L411" t="s">
        <v>198</v>
      </c>
      <c r="M411" t="s">
        <v>199</v>
      </c>
      <c r="N411" t="s">
        <v>2459</v>
      </c>
      <c r="O411" t="s">
        <v>2459</v>
      </c>
      <c r="Q411">
        <f t="shared" si="12"/>
        <v>1</v>
      </c>
      <c r="R411">
        <f t="shared" si="13"/>
        <v>1</v>
      </c>
    </row>
    <row r="412" spans="1:18" x14ac:dyDescent="0.35">
      <c r="A412" s="11" t="s">
        <v>82</v>
      </c>
      <c r="B412" s="11" t="s">
        <v>1117</v>
      </c>
      <c r="C412" s="11" t="s">
        <v>1118</v>
      </c>
      <c r="D412" s="11" t="s">
        <v>198</v>
      </c>
      <c r="E412" s="11" t="s">
        <v>199</v>
      </c>
      <c r="F412" s="11" t="s">
        <v>200</v>
      </c>
      <c r="G412" s="11" t="s">
        <v>201</v>
      </c>
      <c r="I412" t="s">
        <v>1118</v>
      </c>
      <c r="K412" t="s">
        <v>201</v>
      </c>
      <c r="L412" t="s">
        <v>198</v>
      </c>
      <c r="M412" t="s">
        <v>199</v>
      </c>
      <c r="N412" t="s">
        <v>2459</v>
      </c>
      <c r="O412" t="s">
        <v>2459</v>
      </c>
      <c r="Q412">
        <f t="shared" si="12"/>
        <v>1</v>
      </c>
      <c r="R412">
        <f t="shared" si="13"/>
        <v>1</v>
      </c>
    </row>
    <row r="413" spans="1:18" x14ac:dyDescent="0.35">
      <c r="A413" s="11" t="s">
        <v>82</v>
      </c>
      <c r="B413" s="11" t="s">
        <v>1119</v>
      </c>
      <c r="C413" s="11" t="s">
        <v>1120</v>
      </c>
      <c r="D413" s="11" t="s">
        <v>198</v>
      </c>
      <c r="E413" s="11" t="s">
        <v>199</v>
      </c>
      <c r="F413" s="11" t="s">
        <v>200</v>
      </c>
      <c r="G413" s="11" t="s">
        <v>201</v>
      </c>
      <c r="I413" t="s">
        <v>1120</v>
      </c>
      <c r="K413" t="s">
        <v>201</v>
      </c>
      <c r="L413" t="s">
        <v>198</v>
      </c>
      <c r="M413" t="s">
        <v>199</v>
      </c>
      <c r="N413" t="s">
        <v>2459</v>
      </c>
      <c r="O413" t="s">
        <v>2459</v>
      </c>
      <c r="Q413">
        <f t="shared" si="12"/>
        <v>1</v>
      </c>
      <c r="R413">
        <f t="shared" si="13"/>
        <v>1</v>
      </c>
    </row>
    <row r="414" spans="1:18" x14ac:dyDescent="0.35">
      <c r="A414" s="11" t="s">
        <v>82</v>
      </c>
      <c r="B414" s="11" t="s">
        <v>1121</v>
      </c>
      <c r="C414" s="11" t="s">
        <v>1122</v>
      </c>
      <c r="D414" s="11" t="s">
        <v>198</v>
      </c>
      <c r="E414" s="11" t="s">
        <v>199</v>
      </c>
      <c r="F414" s="11" t="s">
        <v>200</v>
      </c>
      <c r="G414" s="11" t="s">
        <v>201</v>
      </c>
      <c r="I414" t="s">
        <v>1122</v>
      </c>
      <c r="K414" t="s">
        <v>201</v>
      </c>
      <c r="L414" t="s">
        <v>198</v>
      </c>
      <c r="M414" t="s">
        <v>199</v>
      </c>
      <c r="N414" t="s">
        <v>2459</v>
      </c>
      <c r="O414" t="s">
        <v>2459</v>
      </c>
      <c r="Q414">
        <f t="shared" si="12"/>
        <v>1</v>
      </c>
      <c r="R414">
        <f t="shared" si="13"/>
        <v>1</v>
      </c>
    </row>
    <row r="415" spans="1:18" x14ac:dyDescent="0.35">
      <c r="A415" s="11" t="s">
        <v>82</v>
      </c>
      <c r="B415" s="11" t="s">
        <v>1123</v>
      </c>
      <c r="C415" s="11" t="s">
        <v>1124</v>
      </c>
      <c r="D415" s="11" t="s">
        <v>198</v>
      </c>
      <c r="E415" s="11" t="s">
        <v>199</v>
      </c>
      <c r="F415" s="11" t="s">
        <v>200</v>
      </c>
      <c r="G415" s="11" t="s">
        <v>201</v>
      </c>
      <c r="I415" t="s">
        <v>1124</v>
      </c>
      <c r="K415" t="s">
        <v>201</v>
      </c>
      <c r="L415" t="s">
        <v>198</v>
      </c>
      <c r="M415" t="s">
        <v>199</v>
      </c>
      <c r="N415" t="s">
        <v>2459</v>
      </c>
      <c r="O415" t="s">
        <v>2459</v>
      </c>
      <c r="Q415">
        <f t="shared" si="12"/>
        <v>1</v>
      </c>
      <c r="R415">
        <f t="shared" si="13"/>
        <v>1</v>
      </c>
    </row>
    <row r="416" spans="1:18" x14ac:dyDescent="0.35">
      <c r="A416" s="11" t="s">
        <v>82</v>
      </c>
      <c r="B416" s="11" t="s">
        <v>1125</v>
      </c>
      <c r="C416" s="11" t="s">
        <v>1126</v>
      </c>
      <c r="D416" s="11" t="s">
        <v>198</v>
      </c>
      <c r="E416" s="11" t="s">
        <v>199</v>
      </c>
      <c r="F416" s="11" t="s">
        <v>200</v>
      </c>
      <c r="G416" s="11" t="s">
        <v>201</v>
      </c>
      <c r="I416" t="s">
        <v>1126</v>
      </c>
      <c r="K416" t="s">
        <v>201</v>
      </c>
      <c r="L416" t="s">
        <v>198</v>
      </c>
      <c r="M416" t="s">
        <v>199</v>
      </c>
      <c r="N416" t="s">
        <v>2459</v>
      </c>
      <c r="O416" t="s">
        <v>2459</v>
      </c>
      <c r="Q416">
        <f t="shared" si="12"/>
        <v>1</v>
      </c>
      <c r="R416">
        <f t="shared" si="13"/>
        <v>1</v>
      </c>
    </row>
    <row r="417" spans="1:18" x14ac:dyDescent="0.35">
      <c r="A417" s="11" t="s">
        <v>82</v>
      </c>
      <c r="B417" s="11" t="s">
        <v>1127</v>
      </c>
      <c r="C417" s="11" t="s">
        <v>1128</v>
      </c>
      <c r="D417" s="11" t="s">
        <v>198</v>
      </c>
      <c r="E417" s="11" t="s">
        <v>199</v>
      </c>
      <c r="F417" s="11" t="s">
        <v>200</v>
      </c>
      <c r="G417" s="11" t="s">
        <v>201</v>
      </c>
      <c r="I417" t="s">
        <v>1128</v>
      </c>
      <c r="K417" t="s">
        <v>201</v>
      </c>
      <c r="L417" t="s">
        <v>198</v>
      </c>
      <c r="M417" t="s">
        <v>199</v>
      </c>
      <c r="N417" t="s">
        <v>2459</v>
      </c>
      <c r="O417" t="s">
        <v>2459</v>
      </c>
      <c r="Q417">
        <f t="shared" si="12"/>
        <v>1</v>
      </c>
      <c r="R417">
        <f t="shared" si="13"/>
        <v>1</v>
      </c>
    </row>
    <row r="418" spans="1:18" x14ac:dyDescent="0.35">
      <c r="A418" s="11" t="s">
        <v>82</v>
      </c>
      <c r="B418" s="11" t="s">
        <v>1129</v>
      </c>
      <c r="C418" s="11" t="s">
        <v>1130</v>
      </c>
      <c r="D418" s="11" t="s">
        <v>198</v>
      </c>
      <c r="E418" s="11" t="s">
        <v>199</v>
      </c>
      <c r="F418" s="11" t="s">
        <v>200</v>
      </c>
      <c r="G418" s="11" t="s">
        <v>201</v>
      </c>
      <c r="I418" t="s">
        <v>1130</v>
      </c>
      <c r="K418" t="s">
        <v>201</v>
      </c>
      <c r="L418" t="s">
        <v>198</v>
      </c>
      <c r="M418" t="s">
        <v>199</v>
      </c>
      <c r="N418" t="s">
        <v>2459</v>
      </c>
      <c r="O418" t="s">
        <v>2459</v>
      </c>
      <c r="Q418">
        <f t="shared" si="12"/>
        <v>1</v>
      </c>
      <c r="R418">
        <f t="shared" si="13"/>
        <v>1</v>
      </c>
    </row>
    <row r="419" spans="1:18" x14ac:dyDescent="0.35">
      <c r="A419" s="11" t="s">
        <v>82</v>
      </c>
      <c r="B419" s="11" t="s">
        <v>1131</v>
      </c>
      <c r="C419" s="11" t="s">
        <v>1132</v>
      </c>
      <c r="D419" s="11" t="s">
        <v>198</v>
      </c>
      <c r="E419" s="11" t="s">
        <v>199</v>
      </c>
      <c r="F419" s="11" t="s">
        <v>200</v>
      </c>
      <c r="G419" s="11" t="s">
        <v>201</v>
      </c>
      <c r="I419" t="s">
        <v>1132</v>
      </c>
      <c r="K419" t="s">
        <v>201</v>
      </c>
      <c r="L419" t="s">
        <v>198</v>
      </c>
      <c r="M419" t="s">
        <v>199</v>
      </c>
      <c r="N419" t="s">
        <v>2459</v>
      </c>
      <c r="O419" t="s">
        <v>2459</v>
      </c>
      <c r="Q419">
        <f t="shared" si="12"/>
        <v>1</v>
      </c>
      <c r="R419">
        <f t="shared" si="13"/>
        <v>1</v>
      </c>
    </row>
    <row r="420" spans="1:18" x14ac:dyDescent="0.35">
      <c r="A420" s="11" t="s">
        <v>82</v>
      </c>
      <c r="B420" s="11" t="s">
        <v>1133</v>
      </c>
      <c r="C420" s="11" t="s">
        <v>1134</v>
      </c>
      <c r="D420" s="11" t="s">
        <v>198</v>
      </c>
      <c r="E420" s="11" t="s">
        <v>199</v>
      </c>
      <c r="F420" s="11" t="s">
        <v>200</v>
      </c>
      <c r="G420" s="11" t="s">
        <v>201</v>
      </c>
      <c r="I420" t="s">
        <v>1134</v>
      </c>
      <c r="K420" t="s">
        <v>201</v>
      </c>
      <c r="L420" t="s">
        <v>198</v>
      </c>
      <c r="M420" t="s">
        <v>199</v>
      </c>
      <c r="N420" t="s">
        <v>2459</v>
      </c>
      <c r="O420" t="s">
        <v>2459</v>
      </c>
      <c r="Q420">
        <f t="shared" si="12"/>
        <v>1</v>
      </c>
      <c r="R420">
        <f t="shared" si="13"/>
        <v>1</v>
      </c>
    </row>
    <row r="421" spans="1:18" x14ac:dyDescent="0.35">
      <c r="A421" s="11" t="s">
        <v>82</v>
      </c>
      <c r="B421" s="11" t="s">
        <v>1135</v>
      </c>
      <c r="C421" s="11" t="s">
        <v>1136</v>
      </c>
      <c r="D421" s="11" t="s">
        <v>198</v>
      </c>
      <c r="E421" s="11" t="s">
        <v>199</v>
      </c>
      <c r="F421" s="11" t="s">
        <v>200</v>
      </c>
      <c r="G421" s="11" t="s">
        <v>201</v>
      </c>
      <c r="I421" t="s">
        <v>1136</v>
      </c>
      <c r="K421" t="s">
        <v>201</v>
      </c>
      <c r="L421" t="s">
        <v>198</v>
      </c>
      <c r="M421" t="s">
        <v>199</v>
      </c>
      <c r="N421" t="s">
        <v>2459</v>
      </c>
      <c r="O421" t="s">
        <v>2459</v>
      </c>
      <c r="Q421">
        <f t="shared" si="12"/>
        <v>1</v>
      </c>
      <c r="R421">
        <f t="shared" si="13"/>
        <v>1</v>
      </c>
    </row>
    <row r="422" spans="1:18" x14ac:dyDescent="0.35">
      <c r="A422" s="11" t="s">
        <v>82</v>
      </c>
      <c r="B422" s="11" t="s">
        <v>1137</v>
      </c>
      <c r="C422" s="11" t="s">
        <v>1138</v>
      </c>
      <c r="D422" s="11" t="s">
        <v>198</v>
      </c>
      <c r="E422" s="11" t="s">
        <v>199</v>
      </c>
      <c r="F422" s="11" t="s">
        <v>203</v>
      </c>
      <c r="G422" s="11" t="s">
        <v>204</v>
      </c>
      <c r="I422" t="s">
        <v>1138</v>
      </c>
      <c r="K422" t="s">
        <v>204</v>
      </c>
      <c r="L422" t="s">
        <v>198</v>
      </c>
      <c r="M422" t="s">
        <v>199</v>
      </c>
      <c r="N422" t="s">
        <v>2459</v>
      </c>
      <c r="O422" t="s">
        <v>2459</v>
      </c>
      <c r="Q422">
        <f t="shared" si="12"/>
        <v>1</v>
      </c>
      <c r="R422">
        <f t="shared" si="13"/>
        <v>1</v>
      </c>
    </row>
    <row r="423" spans="1:18" x14ac:dyDescent="0.35">
      <c r="A423" s="11" t="s">
        <v>82</v>
      </c>
      <c r="B423" s="11" t="s">
        <v>1139</v>
      </c>
      <c r="C423" s="11" t="s">
        <v>199</v>
      </c>
      <c r="D423" s="11" t="s">
        <v>198</v>
      </c>
      <c r="E423" s="11" t="s">
        <v>199</v>
      </c>
      <c r="F423" s="11" t="s">
        <v>203</v>
      </c>
      <c r="G423" s="11" t="s">
        <v>204</v>
      </c>
      <c r="I423" t="s">
        <v>199</v>
      </c>
      <c r="K423" t="s">
        <v>204</v>
      </c>
      <c r="L423" t="s">
        <v>198</v>
      </c>
      <c r="M423" t="s">
        <v>199</v>
      </c>
      <c r="N423" t="s">
        <v>2459</v>
      </c>
      <c r="O423" t="s">
        <v>2459</v>
      </c>
      <c r="Q423">
        <f t="shared" si="12"/>
        <v>1</v>
      </c>
      <c r="R423">
        <f t="shared" si="13"/>
        <v>1</v>
      </c>
    </row>
    <row r="424" spans="1:18" x14ac:dyDescent="0.35">
      <c r="A424" s="11" t="s">
        <v>82</v>
      </c>
      <c r="B424" s="11" t="s">
        <v>1140</v>
      </c>
      <c r="C424" s="11" t="s">
        <v>1141</v>
      </c>
      <c r="D424" s="11" t="s">
        <v>198</v>
      </c>
      <c r="E424" s="11" t="s">
        <v>199</v>
      </c>
      <c r="F424" s="11" t="s">
        <v>203</v>
      </c>
      <c r="G424" s="11" t="s">
        <v>204</v>
      </c>
      <c r="I424" t="s">
        <v>1141</v>
      </c>
      <c r="K424" t="s">
        <v>204</v>
      </c>
      <c r="L424" t="s">
        <v>198</v>
      </c>
      <c r="M424" t="s">
        <v>199</v>
      </c>
      <c r="N424" t="s">
        <v>2459</v>
      </c>
      <c r="O424" t="s">
        <v>2459</v>
      </c>
      <c r="Q424">
        <f t="shared" si="12"/>
        <v>1</v>
      </c>
      <c r="R424">
        <f t="shared" si="13"/>
        <v>1</v>
      </c>
    </row>
    <row r="425" spans="1:18" x14ac:dyDescent="0.35">
      <c r="A425" s="11" t="s">
        <v>82</v>
      </c>
      <c r="B425" s="11" t="s">
        <v>1142</v>
      </c>
      <c r="C425" s="11" t="s">
        <v>1143</v>
      </c>
      <c r="D425" s="11" t="s">
        <v>198</v>
      </c>
      <c r="E425" s="11" t="s">
        <v>199</v>
      </c>
      <c r="F425" s="11" t="s">
        <v>203</v>
      </c>
      <c r="G425" s="11" t="s">
        <v>204</v>
      </c>
      <c r="I425" t="s">
        <v>1143</v>
      </c>
      <c r="K425" t="s">
        <v>204</v>
      </c>
      <c r="L425" t="s">
        <v>198</v>
      </c>
      <c r="M425" t="s">
        <v>199</v>
      </c>
      <c r="N425" t="s">
        <v>2459</v>
      </c>
      <c r="O425" t="s">
        <v>2459</v>
      </c>
      <c r="Q425">
        <f t="shared" si="12"/>
        <v>1</v>
      </c>
      <c r="R425">
        <f t="shared" si="13"/>
        <v>1</v>
      </c>
    </row>
    <row r="426" spans="1:18" x14ac:dyDescent="0.35">
      <c r="A426" s="11" t="s">
        <v>82</v>
      </c>
      <c r="B426" s="11" t="s">
        <v>1144</v>
      </c>
      <c r="C426" s="11" t="s">
        <v>1145</v>
      </c>
      <c r="D426" s="11" t="s">
        <v>198</v>
      </c>
      <c r="E426" s="11" t="s">
        <v>199</v>
      </c>
      <c r="F426" s="11" t="s">
        <v>203</v>
      </c>
      <c r="G426" s="11" t="s">
        <v>204</v>
      </c>
      <c r="I426" t="s">
        <v>1145</v>
      </c>
      <c r="K426" t="s">
        <v>204</v>
      </c>
      <c r="L426" t="s">
        <v>198</v>
      </c>
      <c r="M426" t="s">
        <v>199</v>
      </c>
      <c r="N426" t="s">
        <v>2459</v>
      </c>
      <c r="O426" t="s">
        <v>2459</v>
      </c>
      <c r="Q426">
        <f t="shared" si="12"/>
        <v>1</v>
      </c>
      <c r="R426">
        <f t="shared" si="13"/>
        <v>1</v>
      </c>
    </row>
    <row r="427" spans="1:18" x14ac:dyDescent="0.35">
      <c r="A427" s="11" t="s">
        <v>82</v>
      </c>
      <c r="B427" s="11" t="s">
        <v>1146</v>
      </c>
      <c r="C427" s="11" t="s">
        <v>1147</v>
      </c>
      <c r="D427" s="11" t="s">
        <v>198</v>
      </c>
      <c r="E427" s="11" t="s">
        <v>199</v>
      </c>
      <c r="F427" s="11" t="s">
        <v>203</v>
      </c>
      <c r="G427" s="11" t="s">
        <v>204</v>
      </c>
      <c r="I427" t="s">
        <v>1147</v>
      </c>
      <c r="K427" t="s">
        <v>204</v>
      </c>
      <c r="L427" t="s">
        <v>198</v>
      </c>
      <c r="M427" t="s">
        <v>199</v>
      </c>
      <c r="N427" t="s">
        <v>2459</v>
      </c>
      <c r="O427" t="s">
        <v>2459</v>
      </c>
      <c r="Q427">
        <f t="shared" si="12"/>
        <v>1</v>
      </c>
      <c r="R427">
        <f t="shared" si="13"/>
        <v>1</v>
      </c>
    </row>
    <row r="428" spans="1:18" x14ac:dyDescent="0.35">
      <c r="A428" s="11" t="s">
        <v>82</v>
      </c>
      <c r="B428" s="11" t="s">
        <v>1148</v>
      </c>
      <c r="C428" s="11" t="s">
        <v>1149</v>
      </c>
      <c r="D428" s="11" t="s">
        <v>198</v>
      </c>
      <c r="E428" s="11" t="s">
        <v>199</v>
      </c>
      <c r="F428" s="11" t="s">
        <v>203</v>
      </c>
      <c r="G428" s="11" t="s">
        <v>204</v>
      </c>
      <c r="I428" t="s">
        <v>1149</v>
      </c>
      <c r="K428" t="s">
        <v>204</v>
      </c>
      <c r="L428" t="s">
        <v>198</v>
      </c>
      <c r="M428" t="s">
        <v>199</v>
      </c>
      <c r="N428" t="s">
        <v>2459</v>
      </c>
      <c r="O428" t="s">
        <v>2459</v>
      </c>
      <c r="Q428">
        <f t="shared" si="12"/>
        <v>1</v>
      </c>
      <c r="R428">
        <f t="shared" si="13"/>
        <v>1</v>
      </c>
    </row>
    <row r="429" spans="1:18" x14ac:dyDescent="0.35">
      <c r="A429" s="11" t="s">
        <v>82</v>
      </c>
      <c r="B429" s="11" t="s">
        <v>1150</v>
      </c>
      <c r="C429" s="11" t="s">
        <v>1151</v>
      </c>
      <c r="D429" s="11" t="s">
        <v>198</v>
      </c>
      <c r="E429" s="11" t="s">
        <v>199</v>
      </c>
      <c r="F429" s="11" t="s">
        <v>203</v>
      </c>
      <c r="G429" s="11" t="s">
        <v>204</v>
      </c>
      <c r="I429" t="s">
        <v>1151</v>
      </c>
      <c r="K429" t="s">
        <v>204</v>
      </c>
      <c r="L429" t="s">
        <v>198</v>
      </c>
      <c r="M429" t="s">
        <v>199</v>
      </c>
      <c r="N429" t="s">
        <v>2459</v>
      </c>
      <c r="O429" t="s">
        <v>2459</v>
      </c>
      <c r="Q429">
        <f t="shared" si="12"/>
        <v>1</v>
      </c>
      <c r="R429">
        <f t="shared" si="13"/>
        <v>1</v>
      </c>
    </row>
    <row r="430" spans="1:18" x14ac:dyDescent="0.35">
      <c r="A430" s="11" t="s">
        <v>82</v>
      </c>
      <c r="B430" s="11" t="s">
        <v>1152</v>
      </c>
      <c r="C430" s="11" t="s">
        <v>1153</v>
      </c>
      <c r="D430" s="11" t="s">
        <v>198</v>
      </c>
      <c r="E430" s="11" t="s">
        <v>199</v>
      </c>
      <c r="F430" s="11" t="s">
        <v>203</v>
      </c>
      <c r="G430" s="11" t="s">
        <v>204</v>
      </c>
      <c r="I430" t="s">
        <v>1153</v>
      </c>
      <c r="K430" t="s">
        <v>204</v>
      </c>
      <c r="L430" t="s">
        <v>198</v>
      </c>
      <c r="M430" t="s">
        <v>199</v>
      </c>
      <c r="N430" t="s">
        <v>2459</v>
      </c>
      <c r="O430" t="s">
        <v>2459</v>
      </c>
      <c r="Q430">
        <f t="shared" si="12"/>
        <v>1</v>
      </c>
      <c r="R430">
        <f t="shared" si="13"/>
        <v>1</v>
      </c>
    </row>
    <row r="431" spans="1:18" x14ac:dyDescent="0.35">
      <c r="A431" s="11" t="s">
        <v>82</v>
      </c>
      <c r="B431" s="11" t="s">
        <v>1154</v>
      </c>
      <c r="C431" s="11" t="s">
        <v>1155</v>
      </c>
      <c r="D431" s="11" t="s">
        <v>198</v>
      </c>
      <c r="E431" s="11" t="s">
        <v>199</v>
      </c>
      <c r="F431" s="11" t="s">
        <v>203</v>
      </c>
      <c r="G431" s="11" t="s">
        <v>204</v>
      </c>
      <c r="I431" t="s">
        <v>1155</v>
      </c>
      <c r="K431" t="s">
        <v>204</v>
      </c>
      <c r="L431" t="s">
        <v>198</v>
      </c>
      <c r="M431" t="s">
        <v>199</v>
      </c>
      <c r="N431" t="s">
        <v>2459</v>
      </c>
      <c r="O431" t="s">
        <v>2459</v>
      </c>
      <c r="Q431">
        <f t="shared" si="12"/>
        <v>1</v>
      </c>
      <c r="R431">
        <f t="shared" si="13"/>
        <v>1</v>
      </c>
    </row>
    <row r="432" spans="1:18" x14ac:dyDescent="0.35">
      <c r="A432" s="11" t="s">
        <v>82</v>
      </c>
      <c r="B432" s="11" t="s">
        <v>1156</v>
      </c>
      <c r="C432" s="11" t="s">
        <v>1157</v>
      </c>
      <c r="D432" s="11" t="s">
        <v>198</v>
      </c>
      <c r="E432" s="11" t="s">
        <v>199</v>
      </c>
      <c r="F432" s="11" t="s">
        <v>203</v>
      </c>
      <c r="G432" s="11" t="s">
        <v>204</v>
      </c>
      <c r="I432" t="s">
        <v>1157</v>
      </c>
      <c r="K432" t="s">
        <v>204</v>
      </c>
      <c r="L432" t="s">
        <v>198</v>
      </c>
      <c r="M432" t="s">
        <v>199</v>
      </c>
      <c r="N432" t="s">
        <v>2459</v>
      </c>
      <c r="O432" t="s">
        <v>2459</v>
      </c>
      <c r="Q432">
        <f t="shared" si="12"/>
        <v>1</v>
      </c>
      <c r="R432">
        <f t="shared" si="13"/>
        <v>1</v>
      </c>
    </row>
    <row r="433" spans="1:18" x14ac:dyDescent="0.35">
      <c r="A433" s="11" t="s">
        <v>82</v>
      </c>
      <c r="B433" s="11" t="s">
        <v>1158</v>
      </c>
      <c r="C433" s="11" t="s">
        <v>1159</v>
      </c>
      <c r="D433" s="11" t="s">
        <v>198</v>
      </c>
      <c r="E433" s="11" t="s">
        <v>199</v>
      </c>
      <c r="F433" s="11" t="s">
        <v>203</v>
      </c>
      <c r="G433" s="11" t="s">
        <v>204</v>
      </c>
      <c r="I433" t="s">
        <v>1159</v>
      </c>
      <c r="K433" t="s">
        <v>204</v>
      </c>
      <c r="L433" t="s">
        <v>198</v>
      </c>
      <c r="M433" t="s">
        <v>199</v>
      </c>
      <c r="N433" t="s">
        <v>2459</v>
      </c>
      <c r="O433" t="s">
        <v>2459</v>
      </c>
      <c r="Q433">
        <f t="shared" si="12"/>
        <v>1</v>
      </c>
      <c r="R433">
        <f t="shared" si="13"/>
        <v>1</v>
      </c>
    </row>
    <row r="434" spans="1:18" x14ac:dyDescent="0.35">
      <c r="A434" s="11" t="s">
        <v>82</v>
      </c>
      <c r="B434" s="11" t="s">
        <v>1160</v>
      </c>
      <c r="C434" s="11" t="s">
        <v>1161</v>
      </c>
      <c r="D434" s="11" t="s">
        <v>198</v>
      </c>
      <c r="E434" s="11" t="s">
        <v>199</v>
      </c>
      <c r="F434" s="11" t="s">
        <v>203</v>
      </c>
      <c r="G434" s="11" t="s">
        <v>204</v>
      </c>
      <c r="I434" t="s">
        <v>1161</v>
      </c>
      <c r="K434" t="s">
        <v>204</v>
      </c>
      <c r="L434" t="s">
        <v>198</v>
      </c>
      <c r="M434" t="s">
        <v>199</v>
      </c>
      <c r="N434" t="s">
        <v>2459</v>
      </c>
      <c r="O434" t="s">
        <v>2459</v>
      </c>
      <c r="Q434">
        <f t="shared" si="12"/>
        <v>1</v>
      </c>
      <c r="R434">
        <f t="shared" si="13"/>
        <v>1</v>
      </c>
    </row>
    <row r="435" spans="1:18" x14ac:dyDescent="0.35">
      <c r="A435" s="11" t="s">
        <v>82</v>
      </c>
      <c r="B435" s="11" t="s">
        <v>1162</v>
      </c>
      <c r="C435" s="11" t="s">
        <v>1163</v>
      </c>
      <c r="D435" s="11" t="s">
        <v>198</v>
      </c>
      <c r="E435" s="11" t="s">
        <v>199</v>
      </c>
      <c r="F435" s="11" t="s">
        <v>203</v>
      </c>
      <c r="G435" s="11" t="s">
        <v>204</v>
      </c>
      <c r="I435" t="s">
        <v>1163</v>
      </c>
      <c r="K435" t="s">
        <v>204</v>
      </c>
      <c r="L435" t="s">
        <v>198</v>
      </c>
      <c r="M435" t="s">
        <v>199</v>
      </c>
      <c r="N435" t="s">
        <v>2459</v>
      </c>
      <c r="O435" t="s">
        <v>2459</v>
      </c>
      <c r="Q435">
        <f t="shared" si="12"/>
        <v>1</v>
      </c>
      <c r="R435">
        <f t="shared" si="13"/>
        <v>1</v>
      </c>
    </row>
    <row r="436" spans="1:18" x14ac:dyDescent="0.35">
      <c r="A436" s="11" t="s">
        <v>82</v>
      </c>
      <c r="B436" s="11" t="s">
        <v>1164</v>
      </c>
      <c r="C436" s="11" t="s">
        <v>1165</v>
      </c>
      <c r="D436" s="11" t="s">
        <v>198</v>
      </c>
      <c r="E436" s="11" t="s">
        <v>199</v>
      </c>
      <c r="F436" s="11" t="s">
        <v>203</v>
      </c>
      <c r="G436" s="11" t="s">
        <v>204</v>
      </c>
      <c r="I436" t="s">
        <v>1165</v>
      </c>
      <c r="K436" t="s">
        <v>204</v>
      </c>
      <c r="L436" t="s">
        <v>198</v>
      </c>
      <c r="M436" t="s">
        <v>199</v>
      </c>
      <c r="N436" t="s">
        <v>2459</v>
      </c>
      <c r="O436" t="s">
        <v>2459</v>
      </c>
      <c r="Q436">
        <f t="shared" si="12"/>
        <v>1</v>
      </c>
      <c r="R436">
        <f t="shared" si="13"/>
        <v>1</v>
      </c>
    </row>
    <row r="437" spans="1:18" x14ac:dyDescent="0.35">
      <c r="A437" s="11" t="s">
        <v>82</v>
      </c>
      <c r="B437" s="11" t="s">
        <v>1166</v>
      </c>
      <c r="C437" s="11" t="s">
        <v>1167</v>
      </c>
      <c r="D437" s="11" t="s">
        <v>198</v>
      </c>
      <c r="E437" s="11" t="s">
        <v>199</v>
      </c>
      <c r="F437" s="11" t="s">
        <v>203</v>
      </c>
      <c r="G437" s="11" t="s">
        <v>204</v>
      </c>
      <c r="I437" t="s">
        <v>1167</v>
      </c>
      <c r="K437" t="s">
        <v>204</v>
      </c>
      <c r="L437" t="s">
        <v>198</v>
      </c>
      <c r="M437" t="s">
        <v>199</v>
      </c>
      <c r="N437" t="s">
        <v>2459</v>
      </c>
      <c r="O437" t="s">
        <v>2459</v>
      </c>
      <c r="Q437">
        <f t="shared" si="12"/>
        <v>1</v>
      </c>
      <c r="R437">
        <f t="shared" si="13"/>
        <v>1</v>
      </c>
    </row>
    <row r="438" spans="1:18" x14ac:dyDescent="0.35">
      <c r="A438" s="11" t="s">
        <v>82</v>
      </c>
      <c r="B438" s="11" t="s">
        <v>1168</v>
      </c>
      <c r="C438" s="11" t="s">
        <v>1169</v>
      </c>
      <c r="D438" s="11" t="s">
        <v>198</v>
      </c>
      <c r="E438" s="11" t="s">
        <v>199</v>
      </c>
      <c r="F438" s="11" t="s">
        <v>203</v>
      </c>
      <c r="G438" s="11" t="s">
        <v>204</v>
      </c>
      <c r="I438" t="s">
        <v>1169</v>
      </c>
      <c r="K438" t="s">
        <v>204</v>
      </c>
      <c r="L438" t="s">
        <v>198</v>
      </c>
      <c r="M438" t="s">
        <v>199</v>
      </c>
      <c r="N438" t="s">
        <v>2459</v>
      </c>
      <c r="O438" t="s">
        <v>2459</v>
      </c>
      <c r="Q438">
        <f t="shared" si="12"/>
        <v>1</v>
      </c>
      <c r="R438">
        <f t="shared" si="13"/>
        <v>1</v>
      </c>
    </row>
    <row r="439" spans="1:18" x14ac:dyDescent="0.35">
      <c r="A439" s="11" t="s">
        <v>82</v>
      </c>
      <c r="B439" s="11" t="s">
        <v>1170</v>
      </c>
      <c r="C439" s="11" t="s">
        <v>1171</v>
      </c>
      <c r="D439" s="11" t="s">
        <v>198</v>
      </c>
      <c r="E439" s="11" t="s">
        <v>199</v>
      </c>
      <c r="F439" s="11" t="s">
        <v>203</v>
      </c>
      <c r="G439" s="11" t="s">
        <v>204</v>
      </c>
      <c r="I439" t="s">
        <v>1171</v>
      </c>
      <c r="K439" t="s">
        <v>204</v>
      </c>
      <c r="L439" t="s">
        <v>198</v>
      </c>
      <c r="M439" t="s">
        <v>199</v>
      </c>
      <c r="N439" t="s">
        <v>2459</v>
      </c>
      <c r="O439" t="s">
        <v>2459</v>
      </c>
      <c r="Q439">
        <f t="shared" si="12"/>
        <v>1</v>
      </c>
      <c r="R439">
        <f t="shared" si="13"/>
        <v>1</v>
      </c>
    </row>
    <row r="440" spans="1:18" x14ac:dyDescent="0.35">
      <c r="A440" s="11" t="s">
        <v>82</v>
      </c>
      <c r="B440" s="11" t="s">
        <v>1172</v>
      </c>
      <c r="C440" s="11" t="s">
        <v>1173</v>
      </c>
      <c r="D440" s="11" t="s">
        <v>198</v>
      </c>
      <c r="E440" s="11" t="s">
        <v>199</v>
      </c>
      <c r="F440" s="11" t="s">
        <v>203</v>
      </c>
      <c r="G440" s="11" t="s">
        <v>204</v>
      </c>
      <c r="I440" t="s">
        <v>1173</v>
      </c>
      <c r="K440" t="s">
        <v>204</v>
      </c>
      <c r="L440" t="s">
        <v>198</v>
      </c>
      <c r="M440" t="s">
        <v>199</v>
      </c>
      <c r="N440" t="s">
        <v>2459</v>
      </c>
      <c r="O440" t="s">
        <v>2459</v>
      </c>
      <c r="Q440">
        <f t="shared" si="12"/>
        <v>1</v>
      </c>
      <c r="R440">
        <f t="shared" si="13"/>
        <v>1</v>
      </c>
    </row>
    <row r="441" spans="1:18" x14ac:dyDescent="0.35">
      <c r="A441" s="11" t="s">
        <v>82</v>
      </c>
      <c r="B441" s="11" t="s">
        <v>1174</v>
      </c>
      <c r="C441" s="11" t="s">
        <v>1175</v>
      </c>
      <c r="D441" s="11" t="s">
        <v>198</v>
      </c>
      <c r="E441" s="11" t="s">
        <v>199</v>
      </c>
      <c r="F441" s="11" t="s">
        <v>203</v>
      </c>
      <c r="G441" s="11" t="s">
        <v>204</v>
      </c>
      <c r="I441" t="s">
        <v>1175</v>
      </c>
      <c r="K441" t="s">
        <v>204</v>
      </c>
      <c r="L441" t="s">
        <v>198</v>
      </c>
      <c r="M441" t="s">
        <v>199</v>
      </c>
      <c r="N441" t="s">
        <v>2459</v>
      </c>
      <c r="O441" t="s">
        <v>2459</v>
      </c>
      <c r="Q441">
        <f t="shared" si="12"/>
        <v>1</v>
      </c>
      <c r="R441">
        <f t="shared" si="13"/>
        <v>1</v>
      </c>
    </row>
    <row r="442" spans="1:18" x14ac:dyDescent="0.35">
      <c r="A442" s="11" t="s">
        <v>82</v>
      </c>
      <c r="B442" s="11" t="s">
        <v>1176</v>
      </c>
      <c r="C442" s="11" t="s">
        <v>1177</v>
      </c>
      <c r="D442" s="11" t="s">
        <v>198</v>
      </c>
      <c r="E442" s="11" t="s">
        <v>199</v>
      </c>
      <c r="F442" s="11" t="s">
        <v>203</v>
      </c>
      <c r="G442" s="11" t="s">
        <v>204</v>
      </c>
      <c r="I442" t="s">
        <v>1177</v>
      </c>
      <c r="K442" t="s">
        <v>204</v>
      </c>
      <c r="L442" t="s">
        <v>198</v>
      </c>
      <c r="M442" t="s">
        <v>199</v>
      </c>
      <c r="N442" t="s">
        <v>2459</v>
      </c>
      <c r="O442" t="s">
        <v>2459</v>
      </c>
      <c r="Q442">
        <f t="shared" si="12"/>
        <v>1</v>
      </c>
      <c r="R442">
        <f t="shared" si="13"/>
        <v>1</v>
      </c>
    </row>
    <row r="443" spans="1:18" x14ac:dyDescent="0.35">
      <c r="A443" s="11" t="s">
        <v>82</v>
      </c>
      <c r="B443" s="11" t="s">
        <v>1178</v>
      </c>
      <c r="C443" s="11" t="s">
        <v>1179</v>
      </c>
      <c r="D443" s="11" t="s">
        <v>198</v>
      </c>
      <c r="E443" s="11" t="s">
        <v>199</v>
      </c>
      <c r="F443" s="11" t="s">
        <v>203</v>
      </c>
      <c r="G443" s="11" t="s">
        <v>204</v>
      </c>
      <c r="I443" t="s">
        <v>1179</v>
      </c>
      <c r="K443" t="s">
        <v>204</v>
      </c>
      <c r="L443" t="s">
        <v>198</v>
      </c>
      <c r="M443" t="s">
        <v>199</v>
      </c>
      <c r="N443" t="s">
        <v>2459</v>
      </c>
      <c r="O443" t="s">
        <v>2459</v>
      </c>
      <c r="Q443">
        <f t="shared" si="12"/>
        <v>1</v>
      </c>
      <c r="R443">
        <f t="shared" si="13"/>
        <v>1</v>
      </c>
    </row>
    <row r="444" spans="1:18" x14ac:dyDescent="0.35">
      <c r="A444" s="11" t="s">
        <v>82</v>
      </c>
      <c r="B444" s="11" t="s">
        <v>1180</v>
      </c>
      <c r="C444" s="11" t="s">
        <v>1181</v>
      </c>
      <c r="D444" s="11" t="s">
        <v>198</v>
      </c>
      <c r="E444" s="11" t="s">
        <v>199</v>
      </c>
      <c r="F444" s="11" t="s">
        <v>203</v>
      </c>
      <c r="G444" s="11" t="s">
        <v>204</v>
      </c>
      <c r="I444" t="s">
        <v>1181</v>
      </c>
      <c r="K444" t="s">
        <v>204</v>
      </c>
      <c r="L444" t="s">
        <v>198</v>
      </c>
      <c r="M444" t="s">
        <v>199</v>
      </c>
      <c r="N444" t="s">
        <v>2459</v>
      </c>
      <c r="O444" t="s">
        <v>2459</v>
      </c>
      <c r="Q444">
        <f t="shared" si="12"/>
        <v>1</v>
      </c>
      <c r="R444">
        <f t="shared" si="13"/>
        <v>1</v>
      </c>
    </row>
    <row r="445" spans="1:18" x14ac:dyDescent="0.35">
      <c r="A445" s="11" t="s">
        <v>82</v>
      </c>
      <c r="B445" s="11" t="s">
        <v>1182</v>
      </c>
      <c r="C445" s="11" t="s">
        <v>1183</v>
      </c>
      <c r="D445" s="11" t="s">
        <v>198</v>
      </c>
      <c r="E445" s="11" t="s">
        <v>199</v>
      </c>
      <c r="F445" s="11" t="s">
        <v>203</v>
      </c>
      <c r="G445" s="11" t="s">
        <v>204</v>
      </c>
      <c r="I445" t="s">
        <v>1183</v>
      </c>
      <c r="K445" t="s">
        <v>204</v>
      </c>
      <c r="L445" t="s">
        <v>198</v>
      </c>
      <c r="M445" t="s">
        <v>199</v>
      </c>
      <c r="N445" t="s">
        <v>2459</v>
      </c>
      <c r="O445" t="s">
        <v>2459</v>
      </c>
      <c r="Q445">
        <f t="shared" si="12"/>
        <v>1</v>
      </c>
      <c r="R445">
        <f t="shared" si="13"/>
        <v>1</v>
      </c>
    </row>
    <row r="446" spans="1:18" x14ac:dyDescent="0.35">
      <c r="A446" s="11" t="s">
        <v>82</v>
      </c>
      <c r="B446" s="11" t="s">
        <v>1184</v>
      </c>
      <c r="C446" s="11" t="s">
        <v>1185</v>
      </c>
      <c r="D446" s="11" t="s">
        <v>206</v>
      </c>
      <c r="E446" s="11" t="s">
        <v>207</v>
      </c>
      <c r="F446" s="11" t="s">
        <v>208</v>
      </c>
      <c r="G446" s="11" t="s">
        <v>209</v>
      </c>
      <c r="I446" t="s">
        <v>1185</v>
      </c>
      <c r="K446" t="s">
        <v>209</v>
      </c>
      <c r="L446" t="s">
        <v>206</v>
      </c>
      <c r="M446" t="s">
        <v>207</v>
      </c>
      <c r="N446" t="s">
        <v>2459</v>
      </c>
      <c r="O446" t="s">
        <v>2459</v>
      </c>
      <c r="Q446">
        <f t="shared" si="12"/>
        <v>1</v>
      </c>
      <c r="R446">
        <f t="shared" si="13"/>
        <v>1</v>
      </c>
    </row>
    <row r="447" spans="1:18" x14ac:dyDescent="0.35">
      <c r="A447" s="11" t="s">
        <v>82</v>
      </c>
      <c r="B447" s="11" t="s">
        <v>1186</v>
      </c>
      <c r="C447" s="11" t="s">
        <v>1187</v>
      </c>
      <c r="D447" s="11" t="s">
        <v>206</v>
      </c>
      <c r="E447" s="11" t="s">
        <v>207</v>
      </c>
      <c r="F447" s="11" t="s">
        <v>208</v>
      </c>
      <c r="G447" s="11" t="s">
        <v>209</v>
      </c>
      <c r="I447" t="s">
        <v>1187</v>
      </c>
      <c r="K447" t="s">
        <v>209</v>
      </c>
      <c r="L447" t="s">
        <v>206</v>
      </c>
      <c r="M447" t="s">
        <v>207</v>
      </c>
      <c r="N447" t="s">
        <v>2459</v>
      </c>
      <c r="O447" t="s">
        <v>2459</v>
      </c>
      <c r="Q447">
        <f t="shared" si="12"/>
        <v>1</v>
      </c>
      <c r="R447">
        <f t="shared" si="13"/>
        <v>1</v>
      </c>
    </row>
    <row r="448" spans="1:18" x14ac:dyDescent="0.35">
      <c r="A448" s="11" t="s">
        <v>82</v>
      </c>
      <c r="B448" s="11" t="s">
        <v>1188</v>
      </c>
      <c r="C448" s="11" t="s">
        <v>1189</v>
      </c>
      <c r="D448" s="11" t="s">
        <v>206</v>
      </c>
      <c r="E448" s="11" t="s">
        <v>207</v>
      </c>
      <c r="F448" s="11" t="s">
        <v>208</v>
      </c>
      <c r="G448" s="11" t="s">
        <v>209</v>
      </c>
      <c r="I448" t="s">
        <v>1189</v>
      </c>
      <c r="K448" t="s">
        <v>209</v>
      </c>
      <c r="L448" t="s">
        <v>206</v>
      </c>
      <c r="M448" t="s">
        <v>207</v>
      </c>
      <c r="N448" t="s">
        <v>2459</v>
      </c>
      <c r="O448" t="s">
        <v>2459</v>
      </c>
      <c r="Q448">
        <f t="shared" si="12"/>
        <v>1</v>
      </c>
      <c r="R448">
        <f t="shared" si="13"/>
        <v>1</v>
      </c>
    </row>
    <row r="449" spans="1:18" x14ac:dyDescent="0.35">
      <c r="A449" s="11" t="s">
        <v>82</v>
      </c>
      <c r="B449" s="11" t="s">
        <v>1190</v>
      </c>
      <c r="C449" s="11" t="s">
        <v>1191</v>
      </c>
      <c r="D449" s="11" t="s">
        <v>206</v>
      </c>
      <c r="E449" s="11" t="s">
        <v>207</v>
      </c>
      <c r="F449" s="11" t="s">
        <v>208</v>
      </c>
      <c r="G449" s="11" t="s">
        <v>209</v>
      </c>
      <c r="I449" t="s">
        <v>1191</v>
      </c>
      <c r="K449" t="s">
        <v>209</v>
      </c>
      <c r="L449" t="s">
        <v>206</v>
      </c>
      <c r="M449" t="s">
        <v>207</v>
      </c>
      <c r="N449" t="s">
        <v>2459</v>
      </c>
      <c r="O449" t="s">
        <v>2459</v>
      </c>
      <c r="Q449">
        <f t="shared" si="12"/>
        <v>1</v>
      </c>
      <c r="R449">
        <f t="shared" si="13"/>
        <v>1</v>
      </c>
    </row>
    <row r="450" spans="1:18" x14ac:dyDescent="0.35">
      <c r="A450" s="11" t="s">
        <v>82</v>
      </c>
      <c r="B450" s="11" t="s">
        <v>1192</v>
      </c>
      <c r="C450" s="11" t="s">
        <v>1193</v>
      </c>
      <c r="D450" s="11" t="s">
        <v>206</v>
      </c>
      <c r="E450" s="11" t="s">
        <v>207</v>
      </c>
      <c r="F450" s="11" t="s">
        <v>208</v>
      </c>
      <c r="G450" s="11" t="s">
        <v>209</v>
      </c>
      <c r="I450" t="s">
        <v>1193</v>
      </c>
      <c r="K450" t="s">
        <v>209</v>
      </c>
      <c r="L450" t="s">
        <v>206</v>
      </c>
      <c r="M450" t="s">
        <v>207</v>
      </c>
      <c r="N450" t="s">
        <v>2459</v>
      </c>
      <c r="O450" t="s">
        <v>2459</v>
      </c>
      <c r="Q450">
        <f t="shared" si="12"/>
        <v>1</v>
      </c>
      <c r="R450">
        <f t="shared" si="13"/>
        <v>1</v>
      </c>
    </row>
    <row r="451" spans="1:18" x14ac:dyDescent="0.35">
      <c r="A451" s="11" t="s">
        <v>82</v>
      </c>
      <c r="B451" s="11" t="s">
        <v>1194</v>
      </c>
      <c r="C451" s="11" t="s">
        <v>1195</v>
      </c>
      <c r="D451" s="11" t="s">
        <v>206</v>
      </c>
      <c r="E451" s="11" t="s">
        <v>207</v>
      </c>
      <c r="F451" s="11" t="s">
        <v>208</v>
      </c>
      <c r="G451" s="11" t="s">
        <v>209</v>
      </c>
      <c r="I451" t="s">
        <v>1195</v>
      </c>
      <c r="K451" t="s">
        <v>209</v>
      </c>
      <c r="L451" t="s">
        <v>206</v>
      </c>
      <c r="M451" t="s">
        <v>207</v>
      </c>
      <c r="N451" t="s">
        <v>2459</v>
      </c>
      <c r="O451" t="s">
        <v>2459</v>
      </c>
      <c r="Q451">
        <f t="shared" ref="Q451:Q514" si="14">MATCH(G451,K451,0)</f>
        <v>1</v>
      </c>
      <c r="R451">
        <f t="shared" ref="R451:R514" si="15">MATCH(E451,M451,0)</f>
        <v>1</v>
      </c>
    </row>
    <row r="452" spans="1:18" x14ac:dyDescent="0.35">
      <c r="A452" s="11" t="s">
        <v>82</v>
      </c>
      <c r="B452" s="11" t="s">
        <v>1196</v>
      </c>
      <c r="C452" s="11" t="s">
        <v>1197</v>
      </c>
      <c r="D452" s="11" t="s">
        <v>206</v>
      </c>
      <c r="E452" s="11" t="s">
        <v>207</v>
      </c>
      <c r="F452" s="11" t="s">
        <v>208</v>
      </c>
      <c r="G452" s="11" t="s">
        <v>209</v>
      </c>
      <c r="I452" t="s">
        <v>1197</v>
      </c>
      <c r="K452" t="s">
        <v>209</v>
      </c>
      <c r="L452" t="s">
        <v>206</v>
      </c>
      <c r="M452" t="s">
        <v>207</v>
      </c>
      <c r="N452" t="s">
        <v>2459</v>
      </c>
      <c r="O452" t="s">
        <v>2459</v>
      </c>
      <c r="Q452">
        <f t="shared" si="14"/>
        <v>1</v>
      </c>
      <c r="R452">
        <f t="shared" si="15"/>
        <v>1</v>
      </c>
    </row>
    <row r="453" spans="1:18" x14ac:dyDescent="0.35">
      <c r="A453" s="11" t="s">
        <v>82</v>
      </c>
      <c r="B453" s="11" t="s">
        <v>1198</v>
      </c>
      <c r="C453" s="11" t="s">
        <v>1199</v>
      </c>
      <c r="D453" s="11" t="s">
        <v>206</v>
      </c>
      <c r="E453" s="11" t="s">
        <v>207</v>
      </c>
      <c r="F453" s="11" t="s">
        <v>208</v>
      </c>
      <c r="G453" s="11" t="s">
        <v>209</v>
      </c>
      <c r="I453" t="s">
        <v>1199</v>
      </c>
      <c r="K453" t="s">
        <v>209</v>
      </c>
      <c r="L453" t="s">
        <v>206</v>
      </c>
      <c r="M453" t="s">
        <v>207</v>
      </c>
      <c r="N453" t="s">
        <v>2459</v>
      </c>
      <c r="O453" t="s">
        <v>2459</v>
      </c>
      <c r="Q453">
        <f t="shared" si="14"/>
        <v>1</v>
      </c>
      <c r="R453">
        <f t="shared" si="15"/>
        <v>1</v>
      </c>
    </row>
    <row r="454" spans="1:18" x14ac:dyDescent="0.35">
      <c r="A454" s="11" t="s">
        <v>82</v>
      </c>
      <c r="B454" s="11" t="s">
        <v>1200</v>
      </c>
      <c r="C454" s="11" t="s">
        <v>1201</v>
      </c>
      <c r="D454" s="11" t="s">
        <v>206</v>
      </c>
      <c r="E454" s="11" t="s">
        <v>207</v>
      </c>
      <c r="F454" s="11" t="s">
        <v>208</v>
      </c>
      <c r="G454" s="11" t="s">
        <v>209</v>
      </c>
      <c r="I454" t="s">
        <v>1201</v>
      </c>
      <c r="K454" t="s">
        <v>209</v>
      </c>
      <c r="L454" t="s">
        <v>206</v>
      </c>
      <c r="M454" t="s">
        <v>207</v>
      </c>
      <c r="N454" t="s">
        <v>2459</v>
      </c>
      <c r="O454" t="s">
        <v>2459</v>
      </c>
      <c r="Q454">
        <f t="shared" si="14"/>
        <v>1</v>
      </c>
      <c r="R454">
        <f t="shared" si="15"/>
        <v>1</v>
      </c>
    </row>
    <row r="455" spans="1:18" x14ac:dyDescent="0.35">
      <c r="A455" s="11" t="s">
        <v>82</v>
      </c>
      <c r="B455" s="11" t="s">
        <v>1202</v>
      </c>
      <c r="C455" s="11" t="s">
        <v>1203</v>
      </c>
      <c r="D455" s="11" t="s">
        <v>206</v>
      </c>
      <c r="E455" s="11" t="s">
        <v>207</v>
      </c>
      <c r="F455" s="11" t="s">
        <v>208</v>
      </c>
      <c r="G455" s="11" t="s">
        <v>209</v>
      </c>
      <c r="I455" t="s">
        <v>1203</v>
      </c>
      <c r="K455" t="s">
        <v>209</v>
      </c>
      <c r="L455" t="s">
        <v>206</v>
      </c>
      <c r="M455" t="s">
        <v>207</v>
      </c>
      <c r="N455" t="s">
        <v>2459</v>
      </c>
      <c r="O455" t="s">
        <v>2459</v>
      </c>
      <c r="Q455">
        <f t="shared" si="14"/>
        <v>1</v>
      </c>
      <c r="R455">
        <f t="shared" si="15"/>
        <v>1</v>
      </c>
    </row>
    <row r="456" spans="1:18" x14ac:dyDescent="0.35">
      <c r="A456" s="11" t="s">
        <v>82</v>
      </c>
      <c r="B456" s="11" t="s">
        <v>1204</v>
      </c>
      <c r="C456" s="11" t="s">
        <v>1205</v>
      </c>
      <c r="D456" s="11" t="s">
        <v>206</v>
      </c>
      <c r="E456" s="11" t="s">
        <v>207</v>
      </c>
      <c r="F456" s="11" t="s">
        <v>208</v>
      </c>
      <c r="G456" s="11" t="s">
        <v>209</v>
      </c>
      <c r="I456" t="s">
        <v>1205</v>
      </c>
      <c r="K456" t="s">
        <v>209</v>
      </c>
      <c r="L456" t="s">
        <v>206</v>
      </c>
      <c r="M456" t="s">
        <v>207</v>
      </c>
      <c r="N456" t="s">
        <v>2459</v>
      </c>
      <c r="O456" t="s">
        <v>2459</v>
      </c>
      <c r="Q456">
        <f t="shared" si="14"/>
        <v>1</v>
      </c>
      <c r="R456">
        <f t="shared" si="15"/>
        <v>1</v>
      </c>
    </row>
    <row r="457" spans="1:18" x14ac:dyDescent="0.35">
      <c r="A457" s="11" t="s">
        <v>82</v>
      </c>
      <c r="B457" s="11" t="s">
        <v>1206</v>
      </c>
      <c r="C457" s="11" t="s">
        <v>1207</v>
      </c>
      <c r="D457" s="11" t="s">
        <v>206</v>
      </c>
      <c r="E457" s="11" t="s">
        <v>207</v>
      </c>
      <c r="F457" s="11" t="s">
        <v>208</v>
      </c>
      <c r="G457" s="11" t="s">
        <v>209</v>
      </c>
      <c r="I457" t="s">
        <v>1207</v>
      </c>
      <c r="K457" t="s">
        <v>209</v>
      </c>
      <c r="L457" t="s">
        <v>206</v>
      </c>
      <c r="M457" t="s">
        <v>207</v>
      </c>
      <c r="N457" t="s">
        <v>2459</v>
      </c>
      <c r="O457" t="s">
        <v>2459</v>
      </c>
      <c r="Q457">
        <f t="shared" si="14"/>
        <v>1</v>
      </c>
      <c r="R457">
        <f t="shared" si="15"/>
        <v>1</v>
      </c>
    </row>
    <row r="458" spans="1:18" x14ac:dyDescent="0.35">
      <c r="A458" s="11" t="s">
        <v>82</v>
      </c>
      <c r="B458" s="11" t="s">
        <v>1208</v>
      </c>
      <c r="C458" s="11" t="s">
        <v>1209</v>
      </c>
      <c r="D458" s="11" t="s">
        <v>206</v>
      </c>
      <c r="E458" s="11" t="s">
        <v>207</v>
      </c>
      <c r="F458" s="11" t="s">
        <v>208</v>
      </c>
      <c r="G458" s="11" t="s">
        <v>209</v>
      </c>
      <c r="I458" t="s">
        <v>1209</v>
      </c>
      <c r="K458" t="s">
        <v>209</v>
      </c>
      <c r="L458" t="s">
        <v>206</v>
      </c>
      <c r="M458" t="s">
        <v>207</v>
      </c>
      <c r="N458" t="s">
        <v>2459</v>
      </c>
      <c r="O458" t="s">
        <v>2459</v>
      </c>
      <c r="Q458">
        <f t="shared" si="14"/>
        <v>1</v>
      </c>
      <c r="R458">
        <f t="shared" si="15"/>
        <v>1</v>
      </c>
    </row>
    <row r="459" spans="1:18" x14ac:dyDescent="0.35">
      <c r="A459" s="11" t="s">
        <v>82</v>
      </c>
      <c r="B459" s="11" t="s">
        <v>1210</v>
      </c>
      <c r="C459" s="11" t="s">
        <v>1211</v>
      </c>
      <c r="D459" s="11" t="s">
        <v>206</v>
      </c>
      <c r="E459" s="11" t="s">
        <v>207</v>
      </c>
      <c r="F459" s="11" t="s">
        <v>208</v>
      </c>
      <c r="G459" s="11" t="s">
        <v>209</v>
      </c>
      <c r="I459" t="s">
        <v>1211</v>
      </c>
      <c r="K459" t="s">
        <v>209</v>
      </c>
      <c r="L459" t="s">
        <v>206</v>
      </c>
      <c r="M459" t="s">
        <v>207</v>
      </c>
      <c r="N459" t="s">
        <v>2459</v>
      </c>
      <c r="O459" t="s">
        <v>2459</v>
      </c>
      <c r="Q459">
        <f t="shared" si="14"/>
        <v>1</v>
      </c>
      <c r="R459">
        <f t="shared" si="15"/>
        <v>1</v>
      </c>
    </row>
    <row r="460" spans="1:18" x14ac:dyDescent="0.35">
      <c r="A460" s="11" t="s">
        <v>82</v>
      </c>
      <c r="B460" s="11" t="s">
        <v>1212</v>
      </c>
      <c r="C460" s="11" t="s">
        <v>1213</v>
      </c>
      <c r="D460" s="11" t="s">
        <v>206</v>
      </c>
      <c r="E460" s="11" t="s">
        <v>207</v>
      </c>
      <c r="F460" s="11" t="s">
        <v>208</v>
      </c>
      <c r="G460" s="11" t="s">
        <v>209</v>
      </c>
      <c r="I460" t="s">
        <v>1213</v>
      </c>
      <c r="K460" t="s">
        <v>209</v>
      </c>
      <c r="L460" t="s">
        <v>206</v>
      </c>
      <c r="M460" t="s">
        <v>207</v>
      </c>
      <c r="N460" t="s">
        <v>2459</v>
      </c>
      <c r="O460" t="s">
        <v>2459</v>
      </c>
      <c r="Q460">
        <f t="shared" si="14"/>
        <v>1</v>
      </c>
      <c r="R460">
        <f t="shared" si="15"/>
        <v>1</v>
      </c>
    </row>
    <row r="461" spans="1:18" x14ac:dyDescent="0.35">
      <c r="A461" s="11" t="s">
        <v>82</v>
      </c>
      <c r="B461" s="11" t="s">
        <v>1214</v>
      </c>
      <c r="C461" s="11" t="s">
        <v>1215</v>
      </c>
      <c r="D461" s="11" t="s">
        <v>206</v>
      </c>
      <c r="E461" s="11" t="s">
        <v>207</v>
      </c>
      <c r="F461" s="11" t="s">
        <v>208</v>
      </c>
      <c r="G461" s="11" t="s">
        <v>209</v>
      </c>
      <c r="I461" t="s">
        <v>1215</v>
      </c>
      <c r="K461" t="s">
        <v>209</v>
      </c>
      <c r="L461" t="s">
        <v>206</v>
      </c>
      <c r="M461" t="s">
        <v>207</v>
      </c>
      <c r="N461" t="s">
        <v>2459</v>
      </c>
      <c r="O461" t="s">
        <v>2459</v>
      </c>
      <c r="Q461">
        <f t="shared" si="14"/>
        <v>1</v>
      </c>
      <c r="R461">
        <f t="shared" si="15"/>
        <v>1</v>
      </c>
    </row>
    <row r="462" spans="1:18" x14ac:dyDescent="0.35">
      <c r="A462" s="11" t="s">
        <v>82</v>
      </c>
      <c r="B462" s="11" t="s">
        <v>1216</v>
      </c>
      <c r="C462" s="11" t="s">
        <v>1217</v>
      </c>
      <c r="D462" s="11" t="s">
        <v>206</v>
      </c>
      <c r="E462" s="11" t="s">
        <v>207</v>
      </c>
      <c r="F462" s="11" t="s">
        <v>208</v>
      </c>
      <c r="G462" s="11" t="s">
        <v>209</v>
      </c>
      <c r="I462" t="s">
        <v>1217</v>
      </c>
      <c r="K462" t="s">
        <v>209</v>
      </c>
      <c r="L462" t="s">
        <v>206</v>
      </c>
      <c r="M462" t="s">
        <v>207</v>
      </c>
      <c r="N462" t="s">
        <v>2459</v>
      </c>
      <c r="O462" t="s">
        <v>2459</v>
      </c>
      <c r="Q462">
        <f t="shared" si="14"/>
        <v>1</v>
      </c>
      <c r="R462">
        <f t="shared" si="15"/>
        <v>1</v>
      </c>
    </row>
    <row r="463" spans="1:18" x14ac:dyDescent="0.35">
      <c r="A463" s="11" t="s">
        <v>82</v>
      </c>
      <c r="B463" s="11" t="s">
        <v>1218</v>
      </c>
      <c r="C463" s="11" t="s">
        <v>1219</v>
      </c>
      <c r="D463" s="11" t="s">
        <v>206</v>
      </c>
      <c r="E463" s="11" t="s">
        <v>207</v>
      </c>
      <c r="F463" s="11" t="s">
        <v>208</v>
      </c>
      <c r="G463" s="11" t="s">
        <v>209</v>
      </c>
      <c r="I463" t="s">
        <v>1219</v>
      </c>
      <c r="K463" t="s">
        <v>209</v>
      </c>
      <c r="L463" t="s">
        <v>206</v>
      </c>
      <c r="M463" t="s">
        <v>207</v>
      </c>
      <c r="N463" t="s">
        <v>2459</v>
      </c>
      <c r="O463" t="s">
        <v>2459</v>
      </c>
      <c r="Q463">
        <f t="shared" si="14"/>
        <v>1</v>
      </c>
      <c r="R463">
        <f t="shared" si="15"/>
        <v>1</v>
      </c>
    </row>
    <row r="464" spans="1:18" x14ac:dyDescent="0.35">
      <c r="A464" s="11" t="s">
        <v>82</v>
      </c>
      <c r="B464" s="11" t="s">
        <v>1220</v>
      </c>
      <c r="C464" s="11" t="s">
        <v>938</v>
      </c>
      <c r="D464" s="11" t="s">
        <v>206</v>
      </c>
      <c r="E464" s="11" t="s">
        <v>207</v>
      </c>
      <c r="F464" s="11" t="s">
        <v>208</v>
      </c>
      <c r="G464" s="11" t="s">
        <v>209</v>
      </c>
      <c r="I464" t="s">
        <v>938</v>
      </c>
      <c r="K464" t="s">
        <v>209</v>
      </c>
      <c r="L464" t="s">
        <v>206</v>
      </c>
      <c r="M464" t="s">
        <v>207</v>
      </c>
      <c r="N464" t="s">
        <v>2459</v>
      </c>
      <c r="O464" t="s">
        <v>2459</v>
      </c>
      <c r="Q464">
        <f t="shared" si="14"/>
        <v>1</v>
      </c>
      <c r="R464">
        <f t="shared" si="15"/>
        <v>1</v>
      </c>
    </row>
    <row r="465" spans="1:18" x14ac:dyDescent="0.35">
      <c r="A465" s="11" t="s">
        <v>82</v>
      </c>
      <c r="B465" s="11" t="s">
        <v>1221</v>
      </c>
      <c r="C465" s="11" t="s">
        <v>1222</v>
      </c>
      <c r="D465" s="11" t="s">
        <v>206</v>
      </c>
      <c r="E465" s="11" t="s">
        <v>207</v>
      </c>
      <c r="F465" s="11" t="s">
        <v>208</v>
      </c>
      <c r="G465" s="11" t="s">
        <v>209</v>
      </c>
      <c r="I465" t="s">
        <v>1222</v>
      </c>
      <c r="K465" t="s">
        <v>209</v>
      </c>
      <c r="L465" t="s">
        <v>206</v>
      </c>
      <c r="M465" t="s">
        <v>207</v>
      </c>
      <c r="N465" t="s">
        <v>2459</v>
      </c>
      <c r="O465" t="s">
        <v>2459</v>
      </c>
      <c r="Q465">
        <f t="shared" si="14"/>
        <v>1</v>
      </c>
      <c r="R465">
        <f t="shared" si="15"/>
        <v>1</v>
      </c>
    </row>
    <row r="466" spans="1:18" x14ac:dyDescent="0.35">
      <c r="A466" s="11" t="s">
        <v>82</v>
      </c>
      <c r="B466" s="11" t="s">
        <v>1223</v>
      </c>
      <c r="C466" s="11" t="s">
        <v>1224</v>
      </c>
      <c r="D466" s="11" t="s">
        <v>206</v>
      </c>
      <c r="E466" s="11" t="s">
        <v>207</v>
      </c>
      <c r="F466" s="11" t="s">
        <v>208</v>
      </c>
      <c r="G466" s="11" t="s">
        <v>209</v>
      </c>
      <c r="I466" t="s">
        <v>1224</v>
      </c>
      <c r="K466" t="s">
        <v>209</v>
      </c>
      <c r="L466" t="s">
        <v>206</v>
      </c>
      <c r="M466" t="s">
        <v>207</v>
      </c>
      <c r="N466" t="s">
        <v>2459</v>
      </c>
      <c r="O466" t="s">
        <v>2459</v>
      </c>
      <c r="Q466">
        <f t="shared" si="14"/>
        <v>1</v>
      </c>
      <c r="R466">
        <f t="shared" si="15"/>
        <v>1</v>
      </c>
    </row>
    <row r="467" spans="1:18" x14ac:dyDescent="0.35">
      <c r="A467" s="11" t="s">
        <v>82</v>
      </c>
      <c r="B467" s="11" t="s">
        <v>1225</v>
      </c>
      <c r="C467" s="11" t="s">
        <v>1226</v>
      </c>
      <c r="D467" s="11" t="s">
        <v>206</v>
      </c>
      <c r="E467" s="11" t="s">
        <v>207</v>
      </c>
      <c r="F467" s="11" t="s">
        <v>211</v>
      </c>
      <c r="G467" s="11" t="s">
        <v>212</v>
      </c>
      <c r="I467" t="s">
        <v>1226</v>
      </c>
      <c r="K467" t="s">
        <v>212</v>
      </c>
      <c r="L467" t="s">
        <v>206</v>
      </c>
      <c r="M467" t="s">
        <v>207</v>
      </c>
      <c r="N467" t="s">
        <v>2459</v>
      </c>
      <c r="O467" t="s">
        <v>2459</v>
      </c>
      <c r="Q467">
        <f t="shared" si="14"/>
        <v>1</v>
      </c>
      <c r="R467">
        <f t="shared" si="15"/>
        <v>1</v>
      </c>
    </row>
    <row r="468" spans="1:18" x14ac:dyDescent="0.35">
      <c r="A468" s="11" t="s">
        <v>82</v>
      </c>
      <c r="B468" s="11" t="s">
        <v>1227</v>
      </c>
      <c r="C468" s="11" t="s">
        <v>1228</v>
      </c>
      <c r="D468" s="11" t="s">
        <v>206</v>
      </c>
      <c r="E468" s="11" t="s">
        <v>207</v>
      </c>
      <c r="F468" s="11" t="s">
        <v>211</v>
      </c>
      <c r="G468" s="11" t="s">
        <v>212</v>
      </c>
      <c r="I468" t="s">
        <v>1228</v>
      </c>
      <c r="K468" t="s">
        <v>212</v>
      </c>
      <c r="L468" t="s">
        <v>206</v>
      </c>
      <c r="M468" t="s">
        <v>207</v>
      </c>
      <c r="N468" t="s">
        <v>2459</v>
      </c>
      <c r="O468" t="s">
        <v>2459</v>
      </c>
      <c r="Q468">
        <f t="shared" si="14"/>
        <v>1</v>
      </c>
      <c r="R468">
        <f t="shared" si="15"/>
        <v>1</v>
      </c>
    </row>
    <row r="469" spans="1:18" x14ac:dyDescent="0.35">
      <c r="A469" s="11" t="s">
        <v>82</v>
      </c>
      <c r="B469" s="11" t="s">
        <v>1229</v>
      </c>
      <c r="C469" s="11" t="s">
        <v>1230</v>
      </c>
      <c r="D469" s="11" t="s">
        <v>206</v>
      </c>
      <c r="E469" s="11" t="s">
        <v>207</v>
      </c>
      <c r="F469" s="11" t="s">
        <v>211</v>
      </c>
      <c r="G469" s="11" t="s">
        <v>212</v>
      </c>
      <c r="I469" t="s">
        <v>1230</v>
      </c>
      <c r="K469" t="s">
        <v>212</v>
      </c>
      <c r="L469" t="s">
        <v>206</v>
      </c>
      <c r="M469" t="s">
        <v>207</v>
      </c>
      <c r="N469" t="s">
        <v>2459</v>
      </c>
      <c r="O469" t="s">
        <v>2459</v>
      </c>
      <c r="Q469">
        <f t="shared" si="14"/>
        <v>1</v>
      </c>
      <c r="R469">
        <f t="shared" si="15"/>
        <v>1</v>
      </c>
    </row>
    <row r="470" spans="1:18" x14ac:dyDescent="0.35">
      <c r="A470" s="11" t="s">
        <v>82</v>
      </c>
      <c r="B470" s="11" t="s">
        <v>1231</v>
      </c>
      <c r="C470" s="11" t="s">
        <v>207</v>
      </c>
      <c r="D470" s="11" t="s">
        <v>206</v>
      </c>
      <c r="E470" s="11" t="s">
        <v>207</v>
      </c>
      <c r="F470" s="11" t="s">
        <v>211</v>
      </c>
      <c r="G470" s="11" t="s">
        <v>212</v>
      </c>
      <c r="I470" t="s">
        <v>207</v>
      </c>
      <c r="K470" t="s">
        <v>212</v>
      </c>
      <c r="L470" t="s">
        <v>206</v>
      </c>
      <c r="M470" t="s">
        <v>207</v>
      </c>
      <c r="N470" t="s">
        <v>2459</v>
      </c>
      <c r="O470" t="s">
        <v>2459</v>
      </c>
      <c r="Q470">
        <f t="shared" si="14"/>
        <v>1</v>
      </c>
      <c r="R470">
        <f t="shared" si="15"/>
        <v>1</v>
      </c>
    </row>
    <row r="471" spans="1:18" x14ac:dyDescent="0.35">
      <c r="A471" s="11" t="s">
        <v>82</v>
      </c>
      <c r="B471" s="11" t="s">
        <v>1232</v>
      </c>
      <c r="C471" s="11" t="s">
        <v>1233</v>
      </c>
      <c r="D471" s="11" t="s">
        <v>206</v>
      </c>
      <c r="E471" s="11" t="s">
        <v>207</v>
      </c>
      <c r="F471" s="11" t="s">
        <v>211</v>
      </c>
      <c r="G471" s="11" t="s">
        <v>212</v>
      </c>
      <c r="I471" t="s">
        <v>1233</v>
      </c>
      <c r="K471" t="s">
        <v>212</v>
      </c>
      <c r="L471" t="s">
        <v>206</v>
      </c>
      <c r="M471" t="s">
        <v>207</v>
      </c>
      <c r="N471" t="s">
        <v>2459</v>
      </c>
      <c r="O471" t="s">
        <v>2459</v>
      </c>
      <c r="Q471">
        <f t="shared" si="14"/>
        <v>1</v>
      </c>
      <c r="R471">
        <f t="shared" si="15"/>
        <v>1</v>
      </c>
    </row>
    <row r="472" spans="1:18" x14ac:dyDescent="0.35">
      <c r="A472" s="11" t="s">
        <v>82</v>
      </c>
      <c r="B472" s="11" t="s">
        <v>1234</v>
      </c>
      <c r="C472" s="11" t="s">
        <v>1235</v>
      </c>
      <c r="D472" s="11" t="s">
        <v>206</v>
      </c>
      <c r="E472" s="11" t="s">
        <v>207</v>
      </c>
      <c r="F472" s="11" t="s">
        <v>211</v>
      </c>
      <c r="G472" s="11" t="s">
        <v>212</v>
      </c>
      <c r="I472" t="s">
        <v>1235</v>
      </c>
      <c r="K472" t="s">
        <v>212</v>
      </c>
      <c r="L472" t="s">
        <v>206</v>
      </c>
      <c r="M472" t="s">
        <v>207</v>
      </c>
      <c r="N472" t="s">
        <v>2459</v>
      </c>
      <c r="O472" t="s">
        <v>2459</v>
      </c>
      <c r="Q472">
        <f t="shared" si="14"/>
        <v>1</v>
      </c>
      <c r="R472">
        <f t="shared" si="15"/>
        <v>1</v>
      </c>
    </row>
    <row r="473" spans="1:18" x14ac:dyDescent="0.35">
      <c r="A473" s="11" t="s">
        <v>82</v>
      </c>
      <c r="B473" s="11" t="s">
        <v>1236</v>
      </c>
      <c r="C473" s="11" t="s">
        <v>1237</v>
      </c>
      <c r="D473" s="11" t="s">
        <v>206</v>
      </c>
      <c r="E473" s="11" t="s">
        <v>207</v>
      </c>
      <c r="F473" s="11" t="s">
        <v>211</v>
      </c>
      <c r="G473" s="11" t="s">
        <v>212</v>
      </c>
      <c r="I473" t="s">
        <v>1237</v>
      </c>
      <c r="K473" t="s">
        <v>212</v>
      </c>
      <c r="L473" t="s">
        <v>206</v>
      </c>
      <c r="M473" t="s">
        <v>207</v>
      </c>
      <c r="N473" t="s">
        <v>2459</v>
      </c>
      <c r="O473" t="s">
        <v>2459</v>
      </c>
      <c r="Q473">
        <f t="shared" si="14"/>
        <v>1</v>
      </c>
      <c r="R473">
        <f t="shared" si="15"/>
        <v>1</v>
      </c>
    </row>
    <row r="474" spans="1:18" x14ac:dyDescent="0.35">
      <c r="A474" s="11" t="s">
        <v>82</v>
      </c>
      <c r="B474" s="11" t="s">
        <v>1238</v>
      </c>
      <c r="C474" s="11" t="s">
        <v>1239</v>
      </c>
      <c r="D474" s="11" t="s">
        <v>206</v>
      </c>
      <c r="E474" s="11" t="s">
        <v>207</v>
      </c>
      <c r="F474" s="11" t="s">
        <v>211</v>
      </c>
      <c r="G474" s="11" t="s">
        <v>212</v>
      </c>
      <c r="I474" t="s">
        <v>1239</v>
      </c>
      <c r="K474" t="s">
        <v>212</v>
      </c>
      <c r="L474" t="s">
        <v>206</v>
      </c>
      <c r="M474" t="s">
        <v>207</v>
      </c>
      <c r="N474" t="s">
        <v>2459</v>
      </c>
      <c r="O474" t="s">
        <v>2459</v>
      </c>
      <c r="Q474">
        <f t="shared" si="14"/>
        <v>1</v>
      </c>
      <c r="R474">
        <f t="shared" si="15"/>
        <v>1</v>
      </c>
    </row>
    <row r="475" spans="1:18" x14ac:dyDescent="0.35">
      <c r="A475" s="11" t="s">
        <v>82</v>
      </c>
      <c r="B475" s="11" t="s">
        <v>1240</v>
      </c>
      <c r="C475" s="11" t="s">
        <v>1241</v>
      </c>
      <c r="D475" s="11" t="s">
        <v>206</v>
      </c>
      <c r="E475" s="11" t="s">
        <v>207</v>
      </c>
      <c r="F475" s="11" t="s">
        <v>211</v>
      </c>
      <c r="G475" s="11" t="s">
        <v>212</v>
      </c>
      <c r="I475" t="s">
        <v>1241</v>
      </c>
      <c r="K475" t="s">
        <v>212</v>
      </c>
      <c r="L475" t="s">
        <v>206</v>
      </c>
      <c r="M475" t="s">
        <v>207</v>
      </c>
      <c r="N475" t="s">
        <v>2459</v>
      </c>
      <c r="O475" t="s">
        <v>2459</v>
      </c>
      <c r="Q475">
        <f t="shared" si="14"/>
        <v>1</v>
      </c>
      <c r="R475">
        <f t="shared" si="15"/>
        <v>1</v>
      </c>
    </row>
    <row r="476" spans="1:18" x14ac:dyDescent="0.35">
      <c r="A476" s="11" t="s">
        <v>82</v>
      </c>
      <c r="B476" s="11" t="s">
        <v>1242</v>
      </c>
      <c r="C476" s="11" t="s">
        <v>1243</v>
      </c>
      <c r="D476" s="11" t="s">
        <v>206</v>
      </c>
      <c r="E476" s="11" t="s">
        <v>207</v>
      </c>
      <c r="F476" s="11" t="s">
        <v>211</v>
      </c>
      <c r="G476" s="11" t="s">
        <v>212</v>
      </c>
      <c r="I476" t="s">
        <v>1243</v>
      </c>
      <c r="K476" t="s">
        <v>212</v>
      </c>
      <c r="L476" t="s">
        <v>206</v>
      </c>
      <c r="M476" t="s">
        <v>207</v>
      </c>
      <c r="N476" t="s">
        <v>2459</v>
      </c>
      <c r="O476" t="s">
        <v>2459</v>
      </c>
      <c r="Q476">
        <f t="shared" si="14"/>
        <v>1</v>
      </c>
      <c r="R476">
        <f t="shared" si="15"/>
        <v>1</v>
      </c>
    </row>
    <row r="477" spans="1:18" x14ac:dyDescent="0.35">
      <c r="A477" s="11" t="s">
        <v>82</v>
      </c>
      <c r="B477" s="11" t="s">
        <v>1244</v>
      </c>
      <c r="C477" s="11" t="s">
        <v>1245</v>
      </c>
      <c r="D477" s="11" t="s">
        <v>206</v>
      </c>
      <c r="E477" s="11" t="s">
        <v>207</v>
      </c>
      <c r="F477" s="11" t="s">
        <v>211</v>
      </c>
      <c r="G477" s="11" t="s">
        <v>212</v>
      </c>
      <c r="I477" t="s">
        <v>1245</v>
      </c>
      <c r="K477" t="s">
        <v>212</v>
      </c>
      <c r="L477" t="s">
        <v>206</v>
      </c>
      <c r="M477" t="s">
        <v>207</v>
      </c>
      <c r="N477" t="s">
        <v>2459</v>
      </c>
      <c r="O477" t="s">
        <v>2459</v>
      </c>
      <c r="Q477">
        <f t="shared" si="14"/>
        <v>1</v>
      </c>
      <c r="R477">
        <f t="shared" si="15"/>
        <v>1</v>
      </c>
    </row>
    <row r="478" spans="1:18" x14ac:dyDescent="0.35">
      <c r="A478" s="11" t="s">
        <v>82</v>
      </c>
      <c r="B478" s="11" t="s">
        <v>1246</v>
      </c>
      <c r="C478" s="11" t="s">
        <v>1247</v>
      </c>
      <c r="D478" s="11" t="s">
        <v>206</v>
      </c>
      <c r="E478" s="11" t="s">
        <v>207</v>
      </c>
      <c r="F478" s="11" t="s">
        <v>211</v>
      </c>
      <c r="G478" s="11" t="s">
        <v>212</v>
      </c>
      <c r="I478" t="s">
        <v>1247</v>
      </c>
      <c r="K478" t="s">
        <v>212</v>
      </c>
      <c r="L478" t="s">
        <v>206</v>
      </c>
      <c r="M478" t="s">
        <v>207</v>
      </c>
      <c r="N478" t="s">
        <v>2459</v>
      </c>
      <c r="O478" t="s">
        <v>2459</v>
      </c>
      <c r="Q478">
        <f t="shared" si="14"/>
        <v>1</v>
      </c>
      <c r="R478">
        <f t="shared" si="15"/>
        <v>1</v>
      </c>
    </row>
    <row r="479" spans="1:18" x14ac:dyDescent="0.35">
      <c r="A479" s="11" t="s">
        <v>82</v>
      </c>
      <c r="B479" s="11" t="s">
        <v>1248</v>
      </c>
      <c r="C479" s="11" t="s">
        <v>1249</v>
      </c>
      <c r="D479" s="11" t="s">
        <v>206</v>
      </c>
      <c r="E479" s="11" t="s">
        <v>207</v>
      </c>
      <c r="F479" s="11" t="s">
        <v>211</v>
      </c>
      <c r="G479" s="11" t="s">
        <v>212</v>
      </c>
      <c r="I479" t="s">
        <v>1249</v>
      </c>
      <c r="K479" t="s">
        <v>212</v>
      </c>
      <c r="L479" t="s">
        <v>206</v>
      </c>
      <c r="M479" t="s">
        <v>207</v>
      </c>
      <c r="N479" t="s">
        <v>2459</v>
      </c>
      <c r="O479" t="s">
        <v>2459</v>
      </c>
      <c r="Q479">
        <f t="shared" si="14"/>
        <v>1</v>
      </c>
      <c r="R479">
        <f t="shared" si="15"/>
        <v>1</v>
      </c>
    </row>
    <row r="480" spans="1:18" x14ac:dyDescent="0.35">
      <c r="A480" s="11" t="s">
        <v>82</v>
      </c>
      <c r="B480" s="11" t="s">
        <v>1250</v>
      </c>
      <c r="C480" s="11" t="s">
        <v>1251</v>
      </c>
      <c r="D480" s="11" t="s">
        <v>206</v>
      </c>
      <c r="E480" s="11" t="s">
        <v>207</v>
      </c>
      <c r="F480" s="11" t="s">
        <v>211</v>
      </c>
      <c r="G480" s="11" t="s">
        <v>212</v>
      </c>
      <c r="I480" t="s">
        <v>1251</v>
      </c>
      <c r="K480" t="s">
        <v>212</v>
      </c>
      <c r="L480" t="s">
        <v>206</v>
      </c>
      <c r="M480" t="s">
        <v>207</v>
      </c>
      <c r="N480" t="s">
        <v>2459</v>
      </c>
      <c r="O480" t="s">
        <v>2459</v>
      </c>
      <c r="Q480">
        <f t="shared" si="14"/>
        <v>1</v>
      </c>
      <c r="R480">
        <f t="shared" si="15"/>
        <v>1</v>
      </c>
    </row>
    <row r="481" spans="1:18" x14ac:dyDescent="0.35">
      <c r="A481" s="11" t="s">
        <v>82</v>
      </c>
      <c r="B481" s="11" t="s">
        <v>1252</v>
      </c>
      <c r="C481" s="11" t="s">
        <v>1253</v>
      </c>
      <c r="D481" s="11" t="s">
        <v>206</v>
      </c>
      <c r="E481" s="11" t="s">
        <v>207</v>
      </c>
      <c r="F481" s="11" t="s">
        <v>211</v>
      </c>
      <c r="G481" s="11" t="s">
        <v>212</v>
      </c>
      <c r="I481" t="s">
        <v>1253</v>
      </c>
      <c r="K481" t="s">
        <v>212</v>
      </c>
      <c r="L481" t="s">
        <v>206</v>
      </c>
      <c r="M481" t="s">
        <v>207</v>
      </c>
      <c r="N481" t="s">
        <v>2459</v>
      </c>
      <c r="O481" t="s">
        <v>2459</v>
      </c>
      <c r="Q481">
        <f t="shared" si="14"/>
        <v>1</v>
      </c>
      <c r="R481">
        <f t="shared" si="15"/>
        <v>1</v>
      </c>
    </row>
    <row r="482" spans="1:18" x14ac:dyDescent="0.35">
      <c r="A482" s="11" t="s">
        <v>82</v>
      </c>
      <c r="B482" s="11" t="s">
        <v>1254</v>
      </c>
      <c r="C482" s="11" t="s">
        <v>1255</v>
      </c>
      <c r="D482" s="11" t="s">
        <v>206</v>
      </c>
      <c r="E482" s="11" t="s">
        <v>207</v>
      </c>
      <c r="F482" s="11" t="s">
        <v>211</v>
      </c>
      <c r="G482" s="11" t="s">
        <v>212</v>
      </c>
      <c r="I482" t="s">
        <v>1255</v>
      </c>
      <c r="K482" t="s">
        <v>212</v>
      </c>
      <c r="L482" t="s">
        <v>206</v>
      </c>
      <c r="M482" t="s">
        <v>207</v>
      </c>
      <c r="N482" t="s">
        <v>2459</v>
      </c>
      <c r="O482" t="s">
        <v>2459</v>
      </c>
      <c r="Q482">
        <f t="shared" si="14"/>
        <v>1</v>
      </c>
      <c r="R482">
        <f t="shared" si="15"/>
        <v>1</v>
      </c>
    </row>
    <row r="483" spans="1:18" x14ac:dyDescent="0.35">
      <c r="A483" s="11" t="s">
        <v>82</v>
      </c>
      <c r="B483" s="11" t="s">
        <v>1256</v>
      </c>
      <c r="C483" s="11" t="s">
        <v>1257</v>
      </c>
      <c r="D483" s="11" t="s">
        <v>206</v>
      </c>
      <c r="E483" s="11" t="s">
        <v>207</v>
      </c>
      <c r="F483" s="11" t="s">
        <v>211</v>
      </c>
      <c r="G483" s="11" t="s">
        <v>212</v>
      </c>
      <c r="I483" t="s">
        <v>1257</v>
      </c>
      <c r="K483" t="s">
        <v>212</v>
      </c>
      <c r="L483" t="s">
        <v>206</v>
      </c>
      <c r="M483" t="s">
        <v>207</v>
      </c>
      <c r="N483" t="s">
        <v>2459</v>
      </c>
      <c r="O483" t="s">
        <v>2459</v>
      </c>
      <c r="Q483">
        <f t="shared" si="14"/>
        <v>1</v>
      </c>
      <c r="R483">
        <f t="shared" si="15"/>
        <v>1</v>
      </c>
    </row>
    <row r="484" spans="1:18" x14ac:dyDescent="0.35">
      <c r="A484" s="11" t="s">
        <v>82</v>
      </c>
      <c r="B484" s="11" t="s">
        <v>1258</v>
      </c>
      <c r="C484" s="11" t="s">
        <v>1259</v>
      </c>
      <c r="D484" s="11" t="s">
        <v>206</v>
      </c>
      <c r="E484" s="11" t="s">
        <v>207</v>
      </c>
      <c r="F484" s="11" t="s">
        <v>211</v>
      </c>
      <c r="G484" s="11" t="s">
        <v>212</v>
      </c>
      <c r="I484" t="s">
        <v>1259</v>
      </c>
      <c r="K484" t="s">
        <v>212</v>
      </c>
      <c r="L484" t="s">
        <v>206</v>
      </c>
      <c r="M484" t="s">
        <v>207</v>
      </c>
      <c r="N484" t="s">
        <v>2459</v>
      </c>
      <c r="O484" t="s">
        <v>2459</v>
      </c>
      <c r="Q484">
        <f t="shared" si="14"/>
        <v>1</v>
      </c>
      <c r="R484">
        <f t="shared" si="15"/>
        <v>1</v>
      </c>
    </row>
    <row r="485" spans="1:18" x14ac:dyDescent="0.35">
      <c r="A485" s="11" t="s">
        <v>82</v>
      </c>
      <c r="B485" s="11" t="s">
        <v>1260</v>
      </c>
      <c r="C485" s="11" t="s">
        <v>1261</v>
      </c>
      <c r="D485" s="11" t="s">
        <v>206</v>
      </c>
      <c r="E485" s="11" t="s">
        <v>207</v>
      </c>
      <c r="F485" s="11" t="s">
        <v>211</v>
      </c>
      <c r="G485" s="11" t="s">
        <v>212</v>
      </c>
      <c r="I485" t="s">
        <v>1261</v>
      </c>
      <c r="K485" t="s">
        <v>212</v>
      </c>
      <c r="L485" t="s">
        <v>206</v>
      </c>
      <c r="M485" t="s">
        <v>207</v>
      </c>
      <c r="N485" t="s">
        <v>2459</v>
      </c>
      <c r="O485" t="s">
        <v>2459</v>
      </c>
      <c r="Q485">
        <f t="shared" si="14"/>
        <v>1</v>
      </c>
      <c r="R485">
        <f t="shared" si="15"/>
        <v>1</v>
      </c>
    </row>
    <row r="486" spans="1:18" x14ac:dyDescent="0.35">
      <c r="A486" s="11" t="s">
        <v>82</v>
      </c>
      <c r="B486" s="11" t="s">
        <v>1262</v>
      </c>
      <c r="C486" s="11" t="s">
        <v>1263</v>
      </c>
      <c r="D486" s="11" t="s">
        <v>206</v>
      </c>
      <c r="E486" s="11" t="s">
        <v>207</v>
      </c>
      <c r="F486" s="11" t="s">
        <v>211</v>
      </c>
      <c r="G486" s="11" t="s">
        <v>212</v>
      </c>
      <c r="I486" t="s">
        <v>1263</v>
      </c>
      <c r="K486" t="s">
        <v>212</v>
      </c>
      <c r="L486" t="s">
        <v>206</v>
      </c>
      <c r="M486" t="s">
        <v>207</v>
      </c>
      <c r="N486" t="s">
        <v>2459</v>
      </c>
      <c r="O486" t="s">
        <v>2459</v>
      </c>
      <c r="Q486">
        <f t="shared" si="14"/>
        <v>1</v>
      </c>
      <c r="R486">
        <f t="shared" si="15"/>
        <v>1</v>
      </c>
    </row>
    <row r="487" spans="1:18" x14ac:dyDescent="0.35">
      <c r="A487" s="11" t="s">
        <v>82</v>
      </c>
      <c r="B487" s="11" t="s">
        <v>1264</v>
      </c>
      <c r="C487" s="11" t="s">
        <v>1265</v>
      </c>
      <c r="D487" s="11" t="s">
        <v>206</v>
      </c>
      <c r="E487" s="11" t="s">
        <v>207</v>
      </c>
      <c r="F487" s="11" t="s">
        <v>211</v>
      </c>
      <c r="G487" s="11" t="s">
        <v>212</v>
      </c>
      <c r="I487" t="s">
        <v>1265</v>
      </c>
      <c r="K487" t="s">
        <v>212</v>
      </c>
      <c r="L487" t="s">
        <v>206</v>
      </c>
      <c r="M487" t="s">
        <v>207</v>
      </c>
      <c r="N487" t="s">
        <v>2459</v>
      </c>
      <c r="O487" t="s">
        <v>2459</v>
      </c>
      <c r="Q487">
        <f t="shared" si="14"/>
        <v>1</v>
      </c>
      <c r="R487">
        <f t="shared" si="15"/>
        <v>1</v>
      </c>
    </row>
    <row r="488" spans="1:18" x14ac:dyDescent="0.35">
      <c r="A488" s="11" t="s">
        <v>82</v>
      </c>
      <c r="B488" s="11" t="s">
        <v>1266</v>
      </c>
      <c r="C488" s="11" t="s">
        <v>1267</v>
      </c>
      <c r="D488" s="11" t="s">
        <v>206</v>
      </c>
      <c r="E488" s="11" t="s">
        <v>207</v>
      </c>
      <c r="F488" s="11" t="s">
        <v>211</v>
      </c>
      <c r="G488" s="11" t="s">
        <v>212</v>
      </c>
      <c r="I488" t="s">
        <v>1267</v>
      </c>
      <c r="K488" t="s">
        <v>212</v>
      </c>
      <c r="L488" t="s">
        <v>206</v>
      </c>
      <c r="M488" t="s">
        <v>207</v>
      </c>
      <c r="N488" t="s">
        <v>2459</v>
      </c>
      <c r="O488" t="s">
        <v>2459</v>
      </c>
      <c r="Q488">
        <f t="shared" si="14"/>
        <v>1</v>
      </c>
      <c r="R488">
        <f t="shared" si="15"/>
        <v>1</v>
      </c>
    </row>
    <row r="489" spans="1:18" x14ac:dyDescent="0.35">
      <c r="A489" s="11" t="s">
        <v>82</v>
      </c>
      <c r="B489" s="11" t="s">
        <v>1268</v>
      </c>
      <c r="C489" s="11" t="s">
        <v>1269</v>
      </c>
      <c r="D489" s="11" t="s">
        <v>206</v>
      </c>
      <c r="E489" s="11" t="s">
        <v>207</v>
      </c>
      <c r="F489" s="11" t="s">
        <v>211</v>
      </c>
      <c r="G489" s="11" t="s">
        <v>212</v>
      </c>
      <c r="I489" t="s">
        <v>1269</v>
      </c>
      <c r="K489" t="s">
        <v>212</v>
      </c>
      <c r="L489" t="s">
        <v>206</v>
      </c>
      <c r="M489" t="s">
        <v>207</v>
      </c>
      <c r="N489" t="s">
        <v>2459</v>
      </c>
      <c r="O489" t="s">
        <v>2459</v>
      </c>
      <c r="Q489">
        <f t="shared" si="14"/>
        <v>1</v>
      </c>
      <c r="R489">
        <f t="shared" si="15"/>
        <v>1</v>
      </c>
    </row>
    <row r="490" spans="1:18" x14ac:dyDescent="0.35">
      <c r="A490" s="11" t="s">
        <v>82</v>
      </c>
      <c r="B490" s="11" t="s">
        <v>1270</v>
      </c>
      <c r="C490" s="11" t="s">
        <v>1271</v>
      </c>
      <c r="D490" s="11" t="s">
        <v>206</v>
      </c>
      <c r="E490" s="11" t="s">
        <v>207</v>
      </c>
      <c r="F490" s="11" t="s">
        <v>211</v>
      </c>
      <c r="G490" s="11" t="s">
        <v>212</v>
      </c>
      <c r="I490" t="s">
        <v>1271</v>
      </c>
      <c r="K490" t="s">
        <v>212</v>
      </c>
      <c r="L490" t="s">
        <v>206</v>
      </c>
      <c r="M490" t="s">
        <v>207</v>
      </c>
      <c r="N490" t="s">
        <v>2459</v>
      </c>
      <c r="O490" t="s">
        <v>2459</v>
      </c>
      <c r="Q490">
        <f t="shared" si="14"/>
        <v>1</v>
      </c>
      <c r="R490">
        <f t="shared" si="15"/>
        <v>1</v>
      </c>
    </row>
    <row r="491" spans="1:18" x14ac:dyDescent="0.35">
      <c r="A491" s="11" t="s">
        <v>82</v>
      </c>
      <c r="B491" s="11" t="s">
        <v>1272</v>
      </c>
      <c r="C491" s="11" t="s">
        <v>1273</v>
      </c>
      <c r="D491" s="11" t="s">
        <v>206</v>
      </c>
      <c r="E491" s="11" t="s">
        <v>207</v>
      </c>
      <c r="F491" s="11" t="s">
        <v>211</v>
      </c>
      <c r="G491" s="11" t="s">
        <v>212</v>
      </c>
      <c r="I491" t="s">
        <v>1273</v>
      </c>
      <c r="K491" t="s">
        <v>212</v>
      </c>
      <c r="L491" t="s">
        <v>206</v>
      </c>
      <c r="M491" t="s">
        <v>207</v>
      </c>
      <c r="N491" t="s">
        <v>2459</v>
      </c>
      <c r="O491" t="s">
        <v>2459</v>
      </c>
      <c r="Q491">
        <f t="shared" si="14"/>
        <v>1</v>
      </c>
      <c r="R491">
        <f t="shared" si="15"/>
        <v>1</v>
      </c>
    </row>
    <row r="492" spans="1:18" x14ac:dyDescent="0.35">
      <c r="A492" s="11" t="s">
        <v>82</v>
      </c>
      <c r="B492" s="11" t="s">
        <v>1274</v>
      </c>
      <c r="C492" s="11" t="s">
        <v>1275</v>
      </c>
      <c r="D492" s="11" t="s">
        <v>206</v>
      </c>
      <c r="E492" s="11" t="s">
        <v>207</v>
      </c>
      <c r="F492" s="11" t="s">
        <v>211</v>
      </c>
      <c r="G492" s="11" t="s">
        <v>212</v>
      </c>
      <c r="I492" t="s">
        <v>1275</v>
      </c>
      <c r="K492" t="s">
        <v>212</v>
      </c>
      <c r="L492" t="s">
        <v>206</v>
      </c>
      <c r="M492" t="s">
        <v>207</v>
      </c>
      <c r="N492" t="s">
        <v>2459</v>
      </c>
      <c r="O492" t="s">
        <v>2459</v>
      </c>
      <c r="Q492">
        <f t="shared" si="14"/>
        <v>1</v>
      </c>
      <c r="R492">
        <f t="shared" si="15"/>
        <v>1</v>
      </c>
    </row>
    <row r="493" spans="1:18" x14ac:dyDescent="0.35">
      <c r="A493" s="11" t="s">
        <v>82</v>
      </c>
      <c r="B493" s="11" t="s">
        <v>1276</v>
      </c>
      <c r="C493" s="11" t="s">
        <v>1277</v>
      </c>
      <c r="D493" s="11" t="s">
        <v>206</v>
      </c>
      <c r="E493" s="11" t="s">
        <v>207</v>
      </c>
      <c r="F493" s="11" t="s">
        <v>211</v>
      </c>
      <c r="G493" s="11" t="s">
        <v>212</v>
      </c>
      <c r="I493" t="s">
        <v>1277</v>
      </c>
      <c r="K493" t="s">
        <v>212</v>
      </c>
      <c r="L493" t="s">
        <v>206</v>
      </c>
      <c r="M493" t="s">
        <v>207</v>
      </c>
      <c r="N493" t="s">
        <v>2459</v>
      </c>
      <c r="O493" t="s">
        <v>2459</v>
      </c>
      <c r="Q493">
        <f t="shared" si="14"/>
        <v>1</v>
      </c>
      <c r="R493">
        <f t="shared" si="15"/>
        <v>1</v>
      </c>
    </row>
    <row r="494" spans="1:18" x14ac:dyDescent="0.35">
      <c r="A494" s="11" t="s">
        <v>82</v>
      </c>
      <c r="B494" s="11" t="s">
        <v>1278</v>
      </c>
      <c r="C494" s="11" t="s">
        <v>1279</v>
      </c>
      <c r="D494" s="11" t="s">
        <v>206</v>
      </c>
      <c r="E494" s="11" t="s">
        <v>207</v>
      </c>
      <c r="F494" s="11" t="s">
        <v>211</v>
      </c>
      <c r="G494" s="11" t="s">
        <v>212</v>
      </c>
      <c r="I494" t="s">
        <v>1279</v>
      </c>
      <c r="K494" t="s">
        <v>212</v>
      </c>
      <c r="L494" t="s">
        <v>206</v>
      </c>
      <c r="M494" t="s">
        <v>207</v>
      </c>
      <c r="N494" t="s">
        <v>2459</v>
      </c>
      <c r="O494" t="s">
        <v>2459</v>
      </c>
      <c r="Q494">
        <f t="shared" si="14"/>
        <v>1</v>
      </c>
      <c r="R494">
        <f t="shared" si="15"/>
        <v>1</v>
      </c>
    </row>
    <row r="495" spans="1:18" x14ac:dyDescent="0.35">
      <c r="A495" s="11" t="s">
        <v>82</v>
      </c>
      <c r="B495" s="11" t="s">
        <v>1280</v>
      </c>
      <c r="C495" s="11" t="s">
        <v>1281</v>
      </c>
      <c r="D495" s="11" t="s">
        <v>206</v>
      </c>
      <c r="E495" s="11" t="s">
        <v>207</v>
      </c>
      <c r="F495" s="11" t="s">
        <v>214</v>
      </c>
      <c r="G495" s="11" t="s">
        <v>215</v>
      </c>
      <c r="I495" t="s">
        <v>1281</v>
      </c>
      <c r="K495" t="s">
        <v>215</v>
      </c>
      <c r="L495" t="s">
        <v>206</v>
      </c>
      <c r="M495" t="s">
        <v>207</v>
      </c>
      <c r="N495" t="s">
        <v>2459</v>
      </c>
      <c r="O495" t="s">
        <v>2459</v>
      </c>
      <c r="Q495">
        <f t="shared" si="14"/>
        <v>1</v>
      </c>
      <c r="R495">
        <f t="shared" si="15"/>
        <v>1</v>
      </c>
    </row>
    <row r="496" spans="1:18" x14ac:dyDescent="0.35">
      <c r="A496" s="11" t="s">
        <v>82</v>
      </c>
      <c r="B496" s="11" t="s">
        <v>1282</v>
      </c>
      <c r="C496" s="11" t="s">
        <v>1283</v>
      </c>
      <c r="D496" s="11" t="s">
        <v>206</v>
      </c>
      <c r="E496" s="11" t="s">
        <v>207</v>
      </c>
      <c r="F496" s="11" t="s">
        <v>214</v>
      </c>
      <c r="G496" s="11" t="s">
        <v>215</v>
      </c>
      <c r="I496" t="s">
        <v>1283</v>
      </c>
      <c r="K496" t="s">
        <v>215</v>
      </c>
      <c r="L496" t="s">
        <v>206</v>
      </c>
      <c r="M496" t="s">
        <v>207</v>
      </c>
      <c r="N496" t="s">
        <v>2459</v>
      </c>
      <c r="O496" t="s">
        <v>2459</v>
      </c>
      <c r="Q496">
        <f t="shared" si="14"/>
        <v>1</v>
      </c>
      <c r="R496">
        <f t="shared" si="15"/>
        <v>1</v>
      </c>
    </row>
    <row r="497" spans="1:18" x14ac:dyDescent="0.35">
      <c r="A497" s="11" t="s">
        <v>82</v>
      </c>
      <c r="B497" s="11" t="s">
        <v>1284</v>
      </c>
      <c r="C497" s="11" t="s">
        <v>1285</v>
      </c>
      <c r="D497" s="11" t="s">
        <v>206</v>
      </c>
      <c r="E497" s="11" t="s">
        <v>207</v>
      </c>
      <c r="F497" s="11" t="s">
        <v>214</v>
      </c>
      <c r="G497" s="11" t="s">
        <v>215</v>
      </c>
      <c r="I497" t="s">
        <v>1285</v>
      </c>
      <c r="K497" t="s">
        <v>215</v>
      </c>
      <c r="L497" t="s">
        <v>206</v>
      </c>
      <c r="M497" t="s">
        <v>207</v>
      </c>
      <c r="N497" t="s">
        <v>2459</v>
      </c>
      <c r="O497" t="s">
        <v>2459</v>
      </c>
      <c r="Q497">
        <f t="shared" si="14"/>
        <v>1</v>
      </c>
      <c r="R497">
        <f t="shared" si="15"/>
        <v>1</v>
      </c>
    </row>
    <row r="498" spans="1:18" x14ac:dyDescent="0.35">
      <c r="A498" s="11" t="s">
        <v>82</v>
      </c>
      <c r="B498" s="11" t="s">
        <v>1286</v>
      </c>
      <c r="C498" s="11" t="s">
        <v>1287</v>
      </c>
      <c r="D498" s="11" t="s">
        <v>206</v>
      </c>
      <c r="E498" s="11" t="s">
        <v>207</v>
      </c>
      <c r="F498" s="11" t="s">
        <v>214</v>
      </c>
      <c r="G498" s="11" t="s">
        <v>215</v>
      </c>
      <c r="I498" t="s">
        <v>1287</v>
      </c>
      <c r="K498" t="s">
        <v>215</v>
      </c>
      <c r="L498" t="s">
        <v>206</v>
      </c>
      <c r="M498" t="s">
        <v>207</v>
      </c>
      <c r="N498" t="s">
        <v>2459</v>
      </c>
      <c r="O498" t="s">
        <v>2459</v>
      </c>
      <c r="Q498">
        <f t="shared" si="14"/>
        <v>1</v>
      </c>
      <c r="R498">
        <f t="shared" si="15"/>
        <v>1</v>
      </c>
    </row>
    <row r="499" spans="1:18" x14ac:dyDescent="0.35">
      <c r="A499" s="11" t="s">
        <v>82</v>
      </c>
      <c r="B499" s="11" t="s">
        <v>1288</v>
      </c>
      <c r="C499" s="11" t="s">
        <v>215</v>
      </c>
      <c r="D499" s="11" t="s">
        <v>206</v>
      </c>
      <c r="E499" s="11" t="s">
        <v>207</v>
      </c>
      <c r="F499" s="11" t="s">
        <v>214</v>
      </c>
      <c r="G499" s="11" t="s">
        <v>215</v>
      </c>
      <c r="I499" t="s">
        <v>215</v>
      </c>
      <c r="K499" t="s">
        <v>215</v>
      </c>
      <c r="L499" t="s">
        <v>206</v>
      </c>
      <c r="M499" t="s">
        <v>207</v>
      </c>
      <c r="N499" t="s">
        <v>2459</v>
      </c>
      <c r="O499" t="s">
        <v>2459</v>
      </c>
      <c r="Q499">
        <f t="shared" si="14"/>
        <v>1</v>
      </c>
      <c r="R499">
        <f t="shared" si="15"/>
        <v>1</v>
      </c>
    </row>
    <row r="500" spans="1:18" x14ac:dyDescent="0.35">
      <c r="A500" s="11" t="s">
        <v>82</v>
      </c>
      <c r="B500" s="11" t="s">
        <v>1289</v>
      </c>
      <c r="C500" s="11" t="s">
        <v>1290</v>
      </c>
      <c r="D500" s="11" t="s">
        <v>206</v>
      </c>
      <c r="E500" s="11" t="s">
        <v>207</v>
      </c>
      <c r="F500" s="11" t="s">
        <v>214</v>
      </c>
      <c r="G500" s="11" t="s">
        <v>215</v>
      </c>
      <c r="I500" t="s">
        <v>1290</v>
      </c>
      <c r="K500" t="s">
        <v>215</v>
      </c>
      <c r="L500" t="s">
        <v>206</v>
      </c>
      <c r="M500" t="s">
        <v>207</v>
      </c>
      <c r="N500" t="s">
        <v>2459</v>
      </c>
      <c r="O500" t="s">
        <v>2459</v>
      </c>
      <c r="Q500">
        <f t="shared" si="14"/>
        <v>1</v>
      </c>
      <c r="R500">
        <f t="shared" si="15"/>
        <v>1</v>
      </c>
    </row>
    <row r="501" spans="1:18" x14ac:dyDescent="0.35">
      <c r="A501" s="11" t="s">
        <v>82</v>
      </c>
      <c r="B501" s="11" t="s">
        <v>1291</v>
      </c>
      <c r="C501" s="11" t="s">
        <v>1292</v>
      </c>
      <c r="D501" s="11" t="s">
        <v>206</v>
      </c>
      <c r="E501" s="11" t="s">
        <v>207</v>
      </c>
      <c r="F501" s="11" t="s">
        <v>214</v>
      </c>
      <c r="G501" s="11" t="s">
        <v>215</v>
      </c>
      <c r="I501" t="s">
        <v>1292</v>
      </c>
      <c r="K501" t="s">
        <v>215</v>
      </c>
      <c r="L501" t="s">
        <v>206</v>
      </c>
      <c r="M501" t="s">
        <v>207</v>
      </c>
      <c r="N501" t="s">
        <v>2459</v>
      </c>
      <c r="O501" t="s">
        <v>2459</v>
      </c>
      <c r="Q501">
        <f t="shared" si="14"/>
        <v>1</v>
      </c>
      <c r="R501">
        <f t="shared" si="15"/>
        <v>1</v>
      </c>
    </row>
    <row r="502" spans="1:18" x14ac:dyDescent="0.35">
      <c r="A502" s="11" t="s">
        <v>82</v>
      </c>
      <c r="B502" s="11" t="s">
        <v>1293</v>
      </c>
      <c r="C502" s="11" t="s">
        <v>832</v>
      </c>
      <c r="D502" s="11" t="s">
        <v>206</v>
      </c>
      <c r="E502" s="11" t="s">
        <v>207</v>
      </c>
      <c r="F502" s="11" t="s">
        <v>214</v>
      </c>
      <c r="G502" s="11" t="s">
        <v>215</v>
      </c>
      <c r="I502" t="s">
        <v>832</v>
      </c>
      <c r="K502" t="s">
        <v>215</v>
      </c>
      <c r="L502" t="s">
        <v>206</v>
      </c>
      <c r="M502" t="s">
        <v>207</v>
      </c>
      <c r="N502" t="s">
        <v>2459</v>
      </c>
      <c r="O502" t="s">
        <v>2459</v>
      </c>
      <c r="Q502">
        <f t="shared" si="14"/>
        <v>1</v>
      </c>
      <c r="R502">
        <f t="shared" si="15"/>
        <v>1</v>
      </c>
    </row>
    <row r="503" spans="1:18" x14ac:dyDescent="0.35">
      <c r="A503" s="11" t="s">
        <v>82</v>
      </c>
      <c r="B503" s="11" t="s">
        <v>1294</v>
      </c>
      <c r="C503" s="11" t="s">
        <v>1295</v>
      </c>
      <c r="D503" s="11" t="s">
        <v>206</v>
      </c>
      <c r="E503" s="11" t="s">
        <v>207</v>
      </c>
      <c r="F503" s="11" t="s">
        <v>214</v>
      </c>
      <c r="G503" s="11" t="s">
        <v>215</v>
      </c>
      <c r="I503" t="s">
        <v>1295</v>
      </c>
      <c r="K503" t="s">
        <v>215</v>
      </c>
      <c r="L503" t="s">
        <v>206</v>
      </c>
      <c r="M503" t="s">
        <v>207</v>
      </c>
      <c r="N503" t="s">
        <v>2459</v>
      </c>
      <c r="O503" t="s">
        <v>2459</v>
      </c>
      <c r="Q503">
        <f t="shared" si="14"/>
        <v>1</v>
      </c>
      <c r="R503">
        <f t="shared" si="15"/>
        <v>1</v>
      </c>
    </row>
    <row r="504" spans="1:18" x14ac:dyDescent="0.35">
      <c r="A504" s="11" t="s">
        <v>82</v>
      </c>
      <c r="B504" s="11" t="s">
        <v>1296</v>
      </c>
      <c r="C504" s="11" t="s">
        <v>1297</v>
      </c>
      <c r="D504" s="11" t="s">
        <v>206</v>
      </c>
      <c r="E504" s="11" t="s">
        <v>207</v>
      </c>
      <c r="F504" s="11" t="s">
        <v>214</v>
      </c>
      <c r="G504" s="11" t="s">
        <v>215</v>
      </c>
      <c r="I504" t="s">
        <v>1297</v>
      </c>
      <c r="K504" t="s">
        <v>215</v>
      </c>
      <c r="L504" t="s">
        <v>206</v>
      </c>
      <c r="M504" t="s">
        <v>207</v>
      </c>
      <c r="N504" t="s">
        <v>2459</v>
      </c>
      <c r="O504" t="s">
        <v>2459</v>
      </c>
      <c r="Q504">
        <f t="shared" si="14"/>
        <v>1</v>
      </c>
      <c r="R504">
        <f t="shared" si="15"/>
        <v>1</v>
      </c>
    </row>
    <row r="505" spans="1:18" x14ac:dyDescent="0.35">
      <c r="A505" s="11" t="s">
        <v>82</v>
      </c>
      <c r="B505" s="11" t="s">
        <v>1298</v>
      </c>
      <c r="C505" s="11" t="s">
        <v>1299</v>
      </c>
      <c r="D505" s="11" t="s">
        <v>206</v>
      </c>
      <c r="E505" s="11" t="s">
        <v>207</v>
      </c>
      <c r="F505" s="11" t="s">
        <v>214</v>
      </c>
      <c r="G505" s="11" t="s">
        <v>215</v>
      </c>
      <c r="I505" t="s">
        <v>1299</v>
      </c>
      <c r="K505" t="s">
        <v>215</v>
      </c>
      <c r="L505" t="s">
        <v>206</v>
      </c>
      <c r="M505" t="s">
        <v>207</v>
      </c>
      <c r="N505" t="s">
        <v>2459</v>
      </c>
      <c r="O505" t="s">
        <v>2459</v>
      </c>
      <c r="Q505">
        <f t="shared" si="14"/>
        <v>1</v>
      </c>
      <c r="R505">
        <f t="shared" si="15"/>
        <v>1</v>
      </c>
    </row>
    <row r="506" spans="1:18" x14ac:dyDescent="0.35">
      <c r="A506" s="11" t="s">
        <v>82</v>
      </c>
      <c r="B506" s="11" t="s">
        <v>1300</v>
      </c>
      <c r="C506" s="11" t="s">
        <v>1301</v>
      </c>
      <c r="D506" s="11" t="s">
        <v>206</v>
      </c>
      <c r="E506" s="11" t="s">
        <v>207</v>
      </c>
      <c r="F506" s="11" t="s">
        <v>214</v>
      </c>
      <c r="G506" s="11" t="s">
        <v>215</v>
      </c>
      <c r="I506" t="s">
        <v>1301</v>
      </c>
      <c r="K506" t="s">
        <v>215</v>
      </c>
      <c r="L506" t="s">
        <v>206</v>
      </c>
      <c r="M506" t="s">
        <v>207</v>
      </c>
      <c r="N506" t="s">
        <v>2459</v>
      </c>
      <c r="O506" t="s">
        <v>2459</v>
      </c>
      <c r="Q506">
        <f t="shared" si="14"/>
        <v>1</v>
      </c>
      <c r="R506">
        <f t="shared" si="15"/>
        <v>1</v>
      </c>
    </row>
    <row r="507" spans="1:18" x14ac:dyDescent="0.35">
      <c r="A507" s="11" t="s">
        <v>82</v>
      </c>
      <c r="B507" s="11" t="s">
        <v>1302</v>
      </c>
      <c r="C507" s="11" t="s">
        <v>1303</v>
      </c>
      <c r="D507" s="11" t="s">
        <v>206</v>
      </c>
      <c r="E507" s="11" t="s">
        <v>207</v>
      </c>
      <c r="F507" s="11" t="s">
        <v>214</v>
      </c>
      <c r="G507" s="11" t="s">
        <v>215</v>
      </c>
      <c r="I507" t="s">
        <v>1303</v>
      </c>
      <c r="K507" t="s">
        <v>215</v>
      </c>
      <c r="L507" t="s">
        <v>206</v>
      </c>
      <c r="M507" t="s">
        <v>207</v>
      </c>
      <c r="N507" t="s">
        <v>2459</v>
      </c>
      <c r="O507" t="s">
        <v>2459</v>
      </c>
      <c r="Q507">
        <f t="shared" si="14"/>
        <v>1</v>
      </c>
      <c r="R507">
        <f t="shared" si="15"/>
        <v>1</v>
      </c>
    </row>
    <row r="508" spans="1:18" x14ac:dyDescent="0.35">
      <c r="A508" s="11" t="s">
        <v>82</v>
      </c>
      <c r="B508" s="11" t="s">
        <v>1304</v>
      </c>
      <c r="C508" s="11" t="s">
        <v>1305</v>
      </c>
      <c r="D508" s="11" t="s">
        <v>206</v>
      </c>
      <c r="E508" s="11" t="s">
        <v>207</v>
      </c>
      <c r="F508" s="11" t="s">
        <v>214</v>
      </c>
      <c r="G508" s="11" t="s">
        <v>215</v>
      </c>
      <c r="I508" t="s">
        <v>1305</v>
      </c>
      <c r="K508" t="s">
        <v>215</v>
      </c>
      <c r="L508" t="s">
        <v>206</v>
      </c>
      <c r="M508" t="s">
        <v>207</v>
      </c>
      <c r="N508" t="s">
        <v>2459</v>
      </c>
      <c r="O508" t="s">
        <v>2459</v>
      </c>
      <c r="Q508">
        <f t="shared" si="14"/>
        <v>1</v>
      </c>
      <c r="R508">
        <f t="shared" si="15"/>
        <v>1</v>
      </c>
    </row>
    <row r="509" spans="1:18" x14ac:dyDescent="0.35">
      <c r="A509" s="11" t="s">
        <v>82</v>
      </c>
      <c r="B509" s="11" t="s">
        <v>1306</v>
      </c>
      <c r="C509" s="11" t="s">
        <v>1307</v>
      </c>
      <c r="D509" s="11" t="s">
        <v>206</v>
      </c>
      <c r="E509" s="11" t="s">
        <v>207</v>
      </c>
      <c r="F509" s="11" t="s">
        <v>214</v>
      </c>
      <c r="G509" s="11" t="s">
        <v>215</v>
      </c>
      <c r="I509" t="s">
        <v>1307</v>
      </c>
      <c r="K509" t="s">
        <v>215</v>
      </c>
      <c r="L509" t="s">
        <v>206</v>
      </c>
      <c r="M509" t="s">
        <v>207</v>
      </c>
      <c r="N509" t="s">
        <v>2459</v>
      </c>
      <c r="O509" t="s">
        <v>2459</v>
      </c>
      <c r="Q509">
        <f t="shared" si="14"/>
        <v>1</v>
      </c>
      <c r="R509">
        <f t="shared" si="15"/>
        <v>1</v>
      </c>
    </row>
    <row r="510" spans="1:18" x14ac:dyDescent="0.35">
      <c r="A510" s="11" t="s">
        <v>82</v>
      </c>
      <c r="B510" s="11" t="s">
        <v>1308</v>
      </c>
      <c r="C510" s="11" t="s">
        <v>1309</v>
      </c>
      <c r="D510" s="11" t="s">
        <v>206</v>
      </c>
      <c r="E510" s="11" t="s">
        <v>207</v>
      </c>
      <c r="F510" s="11" t="s">
        <v>214</v>
      </c>
      <c r="G510" s="11" t="s">
        <v>215</v>
      </c>
      <c r="I510" t="s">
        <v>1309</v>
      </c>
      <c r="K510" t="s">
        <v>215</v>
      </c>
      <c r="L510" t="s">
        <v>206</v>
      </c>
      <c r="M510" t="s">
        <v>207</v>
      </c>
      <c r="N510" t="s">
        <v>2459</v>
      </c>
      <c r="O510" t="s">
        <v>2459</v>
      </c>
      <c r="Q510">
        <f t="shared" si="14"/>
        <v>1</v>
      </c>
      <c r="R510">
        <f t="shared" si="15"/>
        <v>1</v>
      </c>
    </row>
    <row r="511" spans="1:18" x14ac:dyDescent="0.35">
      <c r="A511" s="11" t="s">
        <v>82</v>
      </c>
      <c r="B511" s="11" t="s">
        <v>1310</v>
      </c>
      <c r="C511" s="11" t="s">
        <v>1311</v>
      </c>
      <c r="D511" s="11" t="s">
        <v>206</v>
      </c>
      <c r="E511" s="11" t="s">
        <v>207</v>
      </c>
      <c r="F511" s="11" t="s">
        <v>214</v>
      </c>
      <c r="G511" s="11" t="s">
        <v>215</v>
      </c>
      <c r="I511" t="s">
        <v>1311</v>
      </c>
      <c r="K511" t="s">
        <v>215</v>
      </c>
      <c r="L511" t="s">
        <v>206</v>
      </c>
      <c r="M511" t="s">
        <v>207</v>
      </c>
      <c r="N511" t="s">
        <v>2459</v>
      </c>
      <c r="O511" t="s">
        <v>2459</v>
      </c>
      <c r="Q511">
        <f t="shared" si="14"/>
        <v>1</v>
      </c>
      <c r="R511">
        <f t="shared" si="15"/>
        <v>1</v>
      </c>
    </row>
    <row r="512" spans="1:18" x14ac:dyDescent="0.35">
      <c r="A512" s="11" t="s">
        <v>82</v>
      </c>
      <c r="B512" s="11" t="s">
        <v>1312</v>
      </c>
      <c r="C512" s="11" t="s">
        <v>1313</v>
      </c>
      <c r="D512" s="11" t="s">
        <v>206</v>
      </c>
      <c r="E512" s="11" t="s">
        <v>207</v>
      </c>
      <c r="F512" s="11" t="s">
        <v>214</v>
      </c>
      <c r="G512" s="11" t="s">
        <v>215</v>
      </c>
      <c r="I512" t="s">
        <v>1313</v>
      </c>
      <c r="K512" t="s">
        <v>215</v>
      </c>
      <c r="L512" t="s">
        <v>206</v>
      </c>
      <c r="M512" t="s">
        <v>207</v>
      </c>
      <c r="N512" t="s">
        <v>2459</v>
      </c>
      <c r="O512" t="s">
        <v>2459</v>
      </c>
      <c r="Q512">
        <f t="shared" si="14"/>
        <v>1</v>
      </c>
      <c r="R512">
        <f t="shared" si="15"/>
        <v>1</v>
      </c>
    </row>
    <row r="513" spans="1:18" x14ac:dyDescent="0.35">
      <c r="A513" s="11" t="s">
        <v>82</v>
      </c>
      <c r="B513" s="11" t="s">
        <v>1314</v>
      </c>
      <c r="C513" s="11" t="s">
        <v>1315</v>
      </c>
      <c r="D513" s="11" t="s">
        <v>206</v>
      </c>
      <c r="E513" s="11" t="s">
        <v>207</v>
      </c>
      <c r="F513" s="11" t="s">
        <v>214</v>
      </c>
      <c r="G513" s="11" t="s">
        <v>215</v>
      </c>
      <c r="I513" t="s">
        <v>1315</v>
      </c>
      <c r="K513" t="s">
        <v>215</v>
      </c>
      <c r="L513" t="s">
        <v>206</v>
      </c>
      <c r="M513" t="s">
        <v>207</v>
      </c>
      <c r="N513" t="s">
        <v>2459</v>
      </c>
      <c r="O513" t="s">
        <v>2459</v>
      </c>
      <c r="Q513">
        <f t="shared" si="14"/>
        <v>1</v>
      </c>
      <c r="R513">
        <f t="shared" si="15"/>
        <v>1</v>
      </c>
    </row>
    <row r="514" spans="1:18" x14ac:dyDescent="0.35">
      <c r="A514" s="11" t="s">
        <v>82</v>
      </c>
      <c r="B514" s="11" t="s">
        <v>1316</v>
      </c>
      <c r="C514" s="11" t="s">
        <v>1317</v>
      </c>
      <c r="D514" s="11" t="s">
        <v>206</v>
      </c>
      <c r="E514" s="11" t="s">
        <v>207</v>
      </c>
      <c r="F514" s="11" t="s">
        <v>214</v>
      </c>
      <c r="G514" s="11" t="s">
        <v>215</v>
      </c>
      <c r="I514" t="s">
        <v>1317</v>
      </c>
      <c r="K514" t="s">
        <v>215</v>
      </c>
      <c r="L514" t="s">
        <v>206</v>
      </c>
      <c r="M514" t="s">
        <v>207</v>
      </c>
      <c r="N514" t="s">
        <v>2459</v>
      </c>
      <c r="O514" t="s">
        <v>2459</v>
      </c>
      <c r="Q514">
        <f t="shared" si="14"/>
        <v>1</v>
      </c>
      <c r="R514">
        <f t="shared" si="15"/>
        <v>1</v>
      </c>
    </row>
    <row r="515" spans="1:18" x14ac:dyDescent="0.35">
      <c r="A515" s="11" t="s">
        <v>82</v>
      </c>
      <c r="B515" s="11" t="s">
        <v>1318</v>
      </c>
      <c r="C515" s="11" t="s">
        <v>1319</v>
      </c>
      <c r="D515" s="11" t="s">
        <v>206</v>
      </c>
      <c r="E515" s="11" t="s">
        <v>207</v>
      </c>
      <c r="F515" s="11" t="s">
        <v>214</v>
      </c>
      <c r="G515" s="11" t="s">
        <v>215</v>
      </c>
      <c r="I515" t="s">
        <v>1319</v>
      </c>
      <c r="K515" t="s">
        <v>215</v>
      </c>
      <c r="L515" t="s">
        <v>206</v>
      </c>
      <c r="M515" t="s">
        <v>207</v>
      </c>
      <c r="N515" t="s">
        <v>2459</v>
      </c>
      <c r="O515" t="s">
        <v>2459</v>
      </c>
      <c r="Q515">
        <f t="shared" ref="Q515:Q578" si="16">MATCH(G515,K515,0)</f>
        <v>1</v>
      </c>
      <c r="R515">
        <f t="shared" ref="R515:R578" si="17">MATCH(E515,M515,0)</f>
        <v>1</v>
      </c>
    </row>
    <row r="516" spans="1:18" x14ac:dyDescent="0.35">
      <c r="A516" s="11" t="s">
        <v>82</v>
      </c>
      <c r="B516" s="11" t="s">
        <v>1320</v>
      </c>
      <c r="C516" s="11" t="s">
        <v>1321</v>
      </c>
      <c r="D516" s="11" t="s">
        <v>206</v>
      </c>
      <c r="E516" s="11" t="s">
        <v>207</v>
      </c>
      <c r="F516" s="11" t="s">
        <v>214</v>
      </c>
      <c r="G516" s="11" t="s">
        <v>215</v>
      </c>
      <c r="I516" t="s">
        <v>1321</v>
      </c>
      <c r="K516" t="s">
        <v>215</v>
      </c>
      <c r="L516" t="s">
        <v>206</v>
      </c>
      <c r="M516" t="s">
        <v>207</v>
      </c>
      <c r="N516" t="s">
        <v>2459</v>
      </c>
      <c r="O516" t="s">
        <v>2459</v>
      </c>
      <c r="Q516">
        <f t="shared" si="16"/>
        <v>1</v>
      </c>
      <c r="R516">
        <f t="shared" si="17"/>
        <v>1</v>
      </c>
    </row>
    <row r="517" spans="1:18" x14ac:dyDescent="0.35">
      <c r="A517" s="11" t="s">
        <v>82</v>
      </c>
      <c r="B517" s="11" t="s">
        <v>1322</v>
      </c>
      <c r="C517" s="11" t="s">
        <v>1323</v>
      </c>
      <c r="D517" s="11" t="s">
        <v>206</v>
      </c>
      <c r="E517" s="11" t="s">
        <v>207</v>
      </c>
      <c r="F517" s="11" t="s">
        <v>214</v>
      </c>
      <c r="G517" s="11" t="s">
        <v>215</v>
      </c>
      <c r="I517" t="s">
        <v>1323</v>
      </c>
      <c r="K517" t="s">
        <v>215</v>
      </c>
      <c r="L517" t="s">
        <v>206</v>
      </c>
      <c r="M517" t="s">
        <v>207</v>
      </c>
      <c r="N517" t="s">
        <v>2459</v>
      </c>
      <c r="O517" t="s">
        <v>2459</v>
      </c>
      <c r="Q517">
        <f t="shared" si="16"/>
        <v>1</v>
      </c>
      <c r="R517">
        <f t="shared" si="17"/>
        <v>1</v>
      </c>
    </row>
    <row r="518" spans="1:18" x14ac:dyDescent="0.35">
      <c r="A518" s="11" t="s">
        <v>82</v>
      </c>
      <c r="B518" s="11" t="s">
        <v>1324</v>
      </c>
      <c r="C518" s="11" t="s">
        <v>1325</v>
      </c>
      <c r="D518" s="11" t="s">
        <v>206</v>
      </c>
      <c r="E518" s="11" t="s">
        <v>207</v>
      </c>
      <c r="F518" s="11" t="s">
        <v>214</v>
      </c>
      <c r="G518" s="11" t="s">
        <v>215</v>
      </c>
      <c r="I518" t="s">
        <v>1325</v>
      </c>
      <c r="K518" t="s">
        <v>215</v>
      </c>
      <c r="L518" t="s">
        <v>206</v>
      </c>
      <c r="M518" t="s">
        <v>207</v>
      </c>
      <c r="N518" t="s">
        <v>2459</v>
      </c>
      <c r="O518" t="s">
        <v>2459</v>
      </c>
      <c r="Q518">
        <f t="shared" si="16"/>
        <v>1</v>
      </c>
      <c r="R518">
        <f t="shared" si="17"/>
        <v>1</v>
      </c>
    </row>
    <row r="519" spans="1:18" x14ac:dyDescent="0.35">
      <c r="A519" s="11" t="s">
        <v>82</v>
      </c>
      <c r="B519" s="11" t="s">
        <v>1326</v>
      </c>
      <c r="C519" s="11" t="s">
        <v>1327</v>
      </c>
      <c r="D519" s="11" t="s">
        <v>206</v>
      </c>
      <c r="E519" s="11" t="s">
        <v>207</v>
      </c>
      <c r="F519" s="11" t="s">
        <v>214</v>
      </c>
      <c r="G519" s="11" t="s">
        <v>215</v>
      </c>
      <c r="I519" t="s">
        <v>1327</v>
      </c>
      <c r="K519" t="s">
        <v>215</v>
      </c>
      <c r="L519" t="s">
        <v>206</v>
      </c>
      <c r="M519" t="s">
        <v>207</v>
      </c>
      <c r="N519" t="s">
        <v>2459</v>
      </c>
      <c r="O519" t="s">
        <v>2459</v>
      </c>
      <c r="Q519">
        <f t="shared" si="16"/>
        <v>1</v>
      </c>
      <c r="R519">
        <f t="shared" si="17"/>
        <v>1</v>
      </c>
    </row>
    <row r="520" spans="1:18" x14ac:dyDescent="0.35">
      <c r="A520" s="11" t="s">
        <v>82</v>
      </c>
      <c r="B520" s="11" t="s">
        <v>1328</v>
      </c>
      <c r="C520" s="11" t="s">
        <v>1329</v>
      </c>
      <c r="D520" s="11" t="s">
        <v>206</v>
      </c>
      <c r="E520" s="11" t="s">
        <v>207</v>
      </c>
      <c r="F520" s="11" t="s">
        <v>214</v>
      </c>
      <c r="G520" s="11" t="s">
        <v>215</v>
      </c>
      <c r="I520" t="s">
        <v>1329</v>
      </c>
      <c r="K520" t="s">
        <v>215</v>
      </c>
      <c r="L520" t="s">
        <v>206</v>
      </c>
      <c r="M520" t="s">
        <v>207</v>
      </c>
      <c r="N520" t="s">
        <v>2459</v>
      </c>
      <c r="O520" t="s">
        <v>2459</v>
      </c>
      <c r="Q520">
        <f t="shared" si="16"/>
        <v>1</v>
      </c>
      <c r="R520">
        <f t="shared" si="17"/>
        <v>1</v>
      </c>
    </row>
    <row r="521" spans="1:18" x14ac:dyDescent="0.35">
      <c r="A521" s="11" t="s">
        <v>82</v>
      </c>
      <c r="B521" s="11" t="s">
        <v>1330</v>
      </c>
      <c r="C521" s="11" t="s">
        <v>834</v>
      </c>
      <c r="D521" s="11" t="s">
        <v>206</v>
      </c>
      <c r="E521" s="11" t="s">
        <v>207</v>
      </c>
      <c r="F521" s="11" t="s">
        <v>214</v>
      </c>
      <c r="G521" s="11" t="s">
        <v>215</v>
      </c>
      <c r="I521" t="s">
        <v>834</v>
      </c>
      <c r="K521" t="s">
        <v>215</v>
      </c>
      <c r="L521" t="s">
        <v>206</v>
      </c>
      <c r="M521" t="s">
        <v>207</v>
      </c>
      <c r="N521" t="s">
        <v>2459</v>
      </c>
      <c r="O521" t="s">
        <v>2459</v>
      </c>
      <c r="Q521">
        <f t="shared" si="16"/>
        <v>1</v>
      </c>
      <c r="R521">
        <f t="shared" si="17"/>
        <v>1</v>
      </c>
    </row>
    <row r="522" spans="1:18" x14ac:dyDescent="0.35">
      <c r="A522" s="11" t="s">
        <v>82</v>
      </c>
      <c r="B522" s="11" t="s">
        <v>1331</v>
      </c>
      <c r="C522" s="11" t="s">
        <v>1332</v>
      </c>
      <c r="D522" s="11" t="s">
        <v>206</v>
      </c>
      <c r="E522" s="11" t="s">
        <v>207</v>
      </c>
      <c r="F522" s="11" t="s">
        <v>214</v>
      </c>
      <c r="G522" s="11" t="s">
        <v>215</v>
      </c>
      <c r="I522" t="s">
        <v>1332</v>
      </c>
      <c r="K522" t="s">
        <v>215</v>
      </c>
      <c r="L522" t="s">
        <v>206</v>
      </c>
      <c r="M522" t="s">
        <v>207</v>
      </c>
      <c r="N522" t="s">
        <v>2459</v>
      </c>
      <c r="O522" t="s">
        <v>2459</v>
      </c>
      <c r="Q522">
        <f t="shared" si="16"/>
        <v>1</v>
      </c>
      <c r="R522">
        <f t="shared" si="17"/>
        <v>1</v>
      </c>
    </row>
    <row r="523" spans="1:18" x14ac:dyDescent="0.35">
      <c r="A523" s="11" t="s">
        <v>82</v>
      </c>
      <c r="B523" s="11" t="s">
        <v>1333</v>
      </c>
      <c r="C523" s="11" t="s">
        <v>1334</v>
      </c>
      <c r="D523" s="11" t="s">
        <v>206</v>
      </c>
      <c r="E523" s="11" t="s">
        <v>207</v>
      </c>
      <c r="F523" s="11" t="s">
        <v>214</v>
      </c>
      <c r="G523" s="11" t="s">
        <v>215</v>
      </c>
      <c r="I523" t="s">
        <v>1334</v>
      </c>
      <c r="K523" t="s">
        <v>215</v>
      </c>
      <c r="L523" t="s">
        <v>206</v>
      </c>
      <c r="M523" t="s">
        <v>207</v>
      </c>
      <c r="N523" t="s">
        <v>2459</v>
      </c>
      <c r="O523" t="s">
        <v>2459</v>
      </c>
      <c r="Q523">
        <f t="shared" si="16"/>
        <v>1</v>
      </c>
      <c r="R523">
        <f t="shared" si="17"/>
        <v>1</v>
      </c>
    </row>
    <row r="524" spans="1:18" x14ac:dyDescent="0.35">
      <c r="A524" s="11" t="s">
        <v>82</v>
      </c>
      <c r="B524" s="11" t="s">
        <v>1335</v>
      </c>
      <c r="C524" s="11" t="s">
        <v>1336</v>
      </c>
      <c r="D524" s="11" t="s">
        <v>206</v>
      </c>
      <c r="E524" s="11" t="s">
        <v>207</v>
      </c>
      <c r="F524" s="11" t="s">
        <v>214</v>
      </c>
      <c r="G524" s="11" t="s">
        <v>215</v>
      </c>
      <c r="I524" t="s">
        <v>1336</v>
      </c>
      <c r="K524" t="s">
        <v>215</v>
      </c>
      <c r="L524" t="s">
        <v>206</v>
      </c>
      <c r="M524" t="s">
        <v>207</v>
      </c>
      <c r="N524" t="s">
        <v>2459</v>
      </c>
      <c r="O524" t="s">
        <v>2459</v>
      </c>
      <c r="Q524">
        <f t="shared" si="16"/>
        <v>1</v>
      </c>
      <c r="R524">
        <f t="shared" si="17"/>
        <v>1</v>
      </c>
    </row>
    <row r="525" spans="1:18" x14ac:dyDescent="0.35">
      <c r="A525" s="11" t="s">
        <v>82</v>
      </c>
      <c r="B525" s="11" t="s">
        <v>1337</v>
      </c>
      <c r="C525" s="11" t="s">
        <v>1338</v>
      </c>
      <c r="D525" s="11" t="s">
        <v>206</v>
      </c>
      <c r="E525" s="11" t="s">
        <v>207</v>
      </c>
      <c r="F525" s="11" t="s">
        <v>214</v>
      </c>
      <c r="G525" s="11" t="s">
        <v>215</v>
      </c>
      <c r="I525" t="s">
        <v>1338</v>
      </c>
      <c r="K525" t="s">
        <v>215</v>
      </c>
      <c r="L525" t="s">
        <v>206</v>
      </c>
      <c r="M525" t="s">
        <v>207</v>
      </c>
      <c r="N525" t="s">
        <v>2459</v>
      </c>
      <c r="O525" t="s">
        <v>2459</v>
      </c>
      <c r="Q525">
        <f t="shared" si="16"/>
        <v>1</v>
      </c>
      <c r="R525">
        <f t="shared" si="17"/>
        <v>1</v>
      </c>
    </row>
    <row r="526" spans="1:18" x14ac:dyDescent="0.35">
      <c r="A526" s="11" t="s">
        <v>82</v>
      </c>
      <c r="B526" s="11" t="s">
        <v>1339</v>
      </c>
      <c r="C526" s="11" t="s">
        <v>1340</v>
      </c>
      <c r="D526" s="11" t="s">
        <v>206</v>
      </c>
      <c r="E526" s="11" t="s">
        <v>207</v>
      </c>
      <c r="F526" s="11" t="s">
        <v>214</v>
      </c>
      <c r="G526" s="11" t="s">
        <v>215</v>
      </c>
      <c r="I526" t="s">
        <v>1340</v>
      </c>
      <c r="K526" t="s">
        <v>215</v>
      </c>
      <c r="L526" t="s">
        <v>206</v>
      </c>
      <c r="M526" t="s">
        <v>207</v>
      </c>
      <c r="N526" t="s">
        <v>2459</v>
      </c>
      <c r="O526" t="s">
        <v>2459</v>
      </c>
      <c r="Q526">
        <f t="shared" si="16"/>
        <v>1</v>
      </c>
      <c r="R526">
        <f t="shared" si="17"/>
        <v>1</v>
      </c>
    </row>
    <row r="527" spans="1:18" x14ac:dyDescent="0.35">
      <c r="A527" s="11" t="s">
        <v>82</v>
      </c>
      <c r="B527" s="11" t="s">
        <v>1341</v>
      </c>
      <c r="C527" s="11" t="s">
        <v>1342</v>
      </c>
      <c r="D527" s="11" t="s">
        <v>206</v>
      </c>
      <c r="E527" s="11" t="s">
        <v>207</v>
      </c>
      <c r="F527" s="11" t="s">
        <v>214</v>
      </c>
      <c r="G527" s="11" t="s">
        <v>215</v>
      </c>
      <c r="I527" t="s">
        <v>1342</v>
      </c>
      <c r="K527" t="s">
        <v>215</v>
      </c>
      <c r="L527" t="s">
        <v>206</v>
      </c>
      <c r="M527" t="s">
        <v>207</v>
      </c>
      <c r="N527" t="s">
        <v>2459</v>
      </c>
      <c r="O527" t="s">
        <v>2459</v>
      </c>
      <c r="Q527">
        <f t="shared" si="16"/>
        <v>1</v>
      </c>
      <c r="R527">
        <f t="shared" si="17"/>
        <v>1</v>
      </c>
    </row>
    <row r="528" spans="1:18" x14ac:dyDescent="0.35">
      <c r="A528" s="11" t="s">
        <v>82</v>
      </c>
      <c r="B528" s="11" t="s">
        <v>1343</v>
      </c>
      <c r="C528" s="11" t="s">
        <v>1344</v>
      </c>
      <c r="D528" s="11" t="s">
        <v>206</v>
      </c>
      <c r="E528" s="11" t="s">
        <v>207</v>
      </c>
      <c r="F528" s="11" t="s">
        <v>214</v>
      </c>
      <c r="G528" s="11" t="s">
        <v>215</v>
      </c>
      <c r="I528" t="s">
        <v>1344</v>
      </c>
      <c r="K528" t="s">
        <v>215</v>
      </c>
      <c r="L528" t="s">
        <v>206</v>
      </c>
      <c r="M528" t="s">
        <v>207</v>
      </c>
      <c r="N528" t="s">
        <v>2459</v>
      </c>
      <c r="O528" t="s">
        <v>2459</v>
      </c>
      <c r="Q528">
        <f t="shared" si="16"/>
        <v>1</v>
      </c>
      <c r="R528">
        <f t="shared" si="17"/>
        <v>1</v>
      </c>
    </row>
    <row r="529" spans="1:18" x14ac:dyDescent="0.35">
      <c r="A529" s="11" t="s">
        <v>82</v>
      </c>
      <c r="B529" s="11" t="s">
        <v>1345</v>
      </c>
      <c r="C529" s="11" t="s">
        <v>1346</v>
      </c>
      <c r="D529" s="11" t="s">
        <v>206</v>
      </c>
      <c r="E529" s="11" t="s">
        <v>207</v>
      </c>
      <c r="F529" s="11" t="s">
        <v>214</v>
      </c>
      <c r="G529" s="11" t="s">
        <v>215</v>
      </c>
      <c r="I529" t="s">
        <v>1346</v>
      </c>
      <c r="K529" t="s">
        <v>215</v>
      </c>
      <c r="L529" t="s">
        <v>206</v>
      </c>
      <c r="M529" t="s">
        <v>207</v>
      </c>
      <c r="N529" t="s">
        <v>2459</v>
      </c>
      <c r="O529" t="s">
        <v>2459</v>
      </c>
      <c r="Q529">
        <f t="shared" si="16"/>
        <v>1</v>
      </c>
      <c r="R529">
        <f t="shared" si="17"/>
        <v>1</v>
      </c>
    </row>
    <row r="530" spans="1:18" x14ac:dyDescent="0.35">
      <c r="A530" s="11" t="s">
        <v>82</v>
      </c>
      <c r="B530" s="11" t="s">
        <v>1347</v>
      </c>
      <c r="C530" s="11" t="s">
        <v>1348</v>
      </c>
      <c r="D530" s="11" t="s">
        <v>217</v>
      </c>
      <c r="E530" s="11" t="s">
        <v>218</v>
      </c>
      <c r="F530" s="11" t="s">
        <v>219</v>
      </c>
      <c r="G530" s="11" t="s">
        <v>220</v>
      </c>
      <c r="I530" t="s">
        <v>1348</v>
      </c>
      <c r="K530" t="s">
        <v>220</v>
      </c>
      <c r="L530" t="s">
        <v>217</v>
      </c>
      <c r="M530" t="s">
        <v>218</v>
      </c>
      <c r="N530" t="s">
        <v>2459</v>
      </c>
      <c r="O530" t="s">
        <v>2459</v>
      </c>
      <c r="Q530">
        <f t="shared" si="16"/>
        <v>1</v>
      </c>
      <c r="R530">
        <f t="shared" si="17"/>
        <v>1</v>
      </c>
    </row>
    <row r="531" spans="1:18" x14ac:dyDescent="0.35">
      <c r="A531" s="11" t="s">
        <v>82</v>
      </c>
      <c r="B531" s="11" t="s">
        <v>1349</v>
      </c>
      <c r="C531" s="11" t="s">
        <v>1350</v>
      </c>
      <c r="D531" s="11" t="s">
        <v>217</v>
      </c>
      <c r="E531" s="11" t="s">
        <v>218</v>
      </c>
      <c r="F531" s="11" t="s">
        <v>219</v>
      </c>
      <c r="G531" s="11" t="s">
        <v>220</v>
      </c>
      <c r="I531" t="s">
        <v>1350</v>
      </c>
      <c r="K531" t="s">
        <v>220</v>
      </c>
      <c r="L531" t="s">
        <v>217</v>
      </c>
      <c r="M531" t="s">
        <v>218</v>
      </c>
      <c r="N531" t="s">
        <v>2459</v>
      </c>
      <c r="O531" t="s">
        <v>2459</v>
      </c>
      <c r="Q531">
        <f t="shared" si="16"/>
        <v>1</v>
      </c>
      <c r="R531">
        <f t="shared" si="17"/>
        <v>1</v>
      </c>
    </row>
    <row r="532" spans="1:18" x14ac:dyDescent="0.35">
      <c r="A532" s="11" t="s">
        <v>82</v>
      </c>
      <c r="B532" s="11" t="s">
        <v>1351</v>
      </c>
      <c r="C532" s="11" t="s">
        <v>1352</v>
      </c>
      <c r="D532" s="11" t="s">
        <v>217</v>
      </c>
      <c r="E532" s="11" t="s">
        <v>218</v>
      </c>
      <c r="F532" s="11" t="s">
        <v>219</v>
      </c>
      <c r="G532" s="11" t="s">
        <v>220</v>
      </c>
      <c r="I532" t="s">
        <v>1352</v>
      </c>
      <c r="K532" t="s">
        <v>220</v>
      </c>
      <c r="L532" t="s">
        <v>217</v>
      </c>
      <c r="M532" t="s">
        <v>218</v>
      </c>
      <c r="N532" t="s">
        <v>2459</v>
      </c>
      <c r="O532" t="s">
        <v>2459</v>
      </c>
      <c r="Q532">
        <f t="shared" si="16"/>
        <v>1</v>
      </c>
      <c r="R532">
        <f t="shared" si="17"/>
        <v>1</v>
      </c>
    </row>
    <row r="533" spans="1:18" x14ac:dyDescent="0.35">
      <c r="A533" s="11" t="s">
        <v>82</v>
      </c>
      <c r="B533" s="11" t="s">
        <v>1353</v>
      </c>
      <c r="C533" s="11" t="s">
        <v>218</v>
      </c>
      <c r="D533" s="11" t="s">
        <v>217</v>
      </c>
      <c r="E533" s="11" t="s">
        <v>218</v>
      </c>
      <c r="F533" s="11" t="s">
        <v>219</v>
      </c>
      <c r="G533" s="11" t="s">
        <v>220</v>
      </c>
      <c r="I533" t="s">
        <v>218</v>
      </c>
      <c r="K533" t="s">
        <v>220</v>
      </c>
      <c r="L533" t="s">
        <v>217</v>
      </c>
      <c r="M533" t="s">
        <v>218</v>
      </c>
      <c r="N533" t="s">
        <v>2459</v>
      </c>
      <c r="O533" t="s">
        <v>2459</v>
      </c>
      <c r="Q533">
        <f t="shared" si="16"/>
        <v>1</v>
      </c>
      <c r="R533">
        <f t="shared" si="17"/>
        <v>1</v>
      </c>
    </row>
    <row r="534" spans="1:18" x14ac:dyDescent="0.35">
      <c r="A534" s="11" t="s">
        <v>82</v>
      </c>
      <c r="B534" s="11" t="s">
        <v>1354</v>
      </c>
      <c r="C534" s="11" t="s">
        <v>1355</v>
      </c>
      <c r="D534" s="11" t="s">
        <v>217</v>
      </c>
      <c r="E534" s="11" t="s">
        <v>218</v>
      </c>
      <c r="F534" s="11" t="s">
        <v>219</v>
      </c>
      <c r="G534" s="11" t="s">
        <v>220</v>
      </c>
      <c r="I534" t="s">
        <v>1355</v>
      </c>
      <c r="K534" t="s">
        <v>220</v>
      </c>
      <c r="L534" t="s">
        <v>217</v>
      </c>
      <c r="M534" t="s">
        <v>218</v>
      </c>
      <c r="N534" t="s">
        <v>2459</v>
      </c>
      <c r="O534" t="s">
        <v>2459</v>
      </c>
      <c r="Q534">
        <f t="shared" si="16"/>
        <v>1</v>
      </c>
      <c r="R534">
        <f t="shared" si="17"/>
        <v>1</v>
      </c>
    </row>
    <row r="535" spans="1:18" x14ac:dyDescent="0.35">
      <c r="A535" s="11" t="s">
        <v>82</v>
      </c>
      <c r="B535" s="11" t="s">
        <v>1356</v>
      </c>
      <c r="C535" s="11" t="s">
        <v>1357</v>
      </c>
      <c r="D535" s="11" t="s">
        <v>217</v>
      </c>
      <c r="E535" s="11" t="s">
        <v>218</v>
      </c>
      <c r="F535" s="11" t="s">
        <v>219</v>
      </c>
      <c r="G535" s="11" t="s">
        <v>220</v>
      </c>
      <c r="I535" t="s">
        <v>1357</v>
      </c>
      <c r="K535" t="s">
        <v>220</v>
      </c>
      <c r="L535" t="s">
        <v>217</v>
      </c>
      <c r="M535" t="s">
        <v>218</v>
      </c>
      <c r="N535" t="s">
        <v>2459</v>
      </c>
      <c r="O535" t="s">
        <v>2459</v>
      </c>
      <c r="Q535">
        <f t="shared" si="16"/>
        <v>1</v>
      </c>
      <c r="R535">
        <f t="shared" si="17"/>
        <v>1</v>
      </c>
    </row>
    <row r="536" spans="1:18" x14ac:dyDescent="0.35">
      <c r="A536" s="11" t="s">
        <v>82</v>
      </c>
      <c r="B536" s="11" t="s">
        <v>1358</v>
      </c>
      <c r="C536" s="11" t="s">
        <v>1359</v>
      </c>
      <c r="D536" s="11" t="s">
        <v>217</v>
      </c>
      <c r="E536" s="11" t="s">
        <v>218</v>
      </c>
      <c r="F536" s="11" t="s">
        <v>222</v>
      </c>
      <c r="G536" s="11" t="s">
        <v>223</v>
      </c>
      <c r="I536" t="s">
        <v>1359</v>
      </c>
      <c r="K536" t="s">
        <v>223</v>
      </c>
      <c r="L536" t="s">
        <v>217</v>
      </c>
      <c r="M536" t="s">
        <v>218</v>
      </c>
      <c r="N536" t="s">
        <v>2459</v>
      </c>
      <c r="O536" t="s">
        <v>2459</v>
      </c>
      <c r="Q536">
        <f t="shared" si="16"/>
        <v>1</v>
      </c>
      <c r="R536">
        <f t="shared" si="17"/>
        <v>1</v>
      </c>
    </row>
    <row r="537" spans="1:18" x14ac:dyDescent="0.35">
      <c r="A537" s="11" t="s">
        <v>82</v>
      </c>
      <c r="B537" s="11" t="s">
        <v>1360</v>
      </c>
      <c r="C537" s="11" t="s">
        <v>1361</v>
      </c>
      <c r="D537" s="11" t="s">
        <v>217</v>
      </c>
      <c r="E537" s="11" t="s">
        <v>218</v>
      </c>
      <c r="F537" s="11" t="s">
        <v>222</v>
      </c>
      <c r="G537" s="11" t="s">
        <v>223</v>
      </c>
      <c r="I537" t="s">
        <v>1361</v>
      </c>
      <c r="K537" t="s">
        <v>223</v>
      </c>
      <c r="L537" t="s">
        <v>217</v>
      </c>
      <c r="M537" t="s">
        <v>218</v>
      </c>
      <c r="N537" t="s">
        <v>2459</v>
      </c>
      <c r="O537" t="s">
        <v>2459</v>
      </c>
      <c r="Q537">
        <f t="shared" si="16"/>
        <v>1</v>
      </c>
      <c r="R537">
        <f t="shared" si="17"/>
        <v>1</v>
      </c>
    </row>
    <row r="538" spans="1:18" x14ac:dyDescent="0.35">
      <c r="A538" s="11" t="s">
        <v>82</v>
      </c>
      <c r="B538" s="11" t="s">
        <v>1362</v>
      </c>
      <c r="C538" s="11" t="s">
        <v>1363</v>
      </c>
      <c r="D538" s="11" t="s">
        <v>217</v>
      </c>
      <c r="E538" s="11" t="s">
        <v>218</v>
      </c>
      <c r="F538" s="11" t="s">
        <v>222</v>
      </c>
      <c r="G538" s="11" t="s">
        <v>223</v>
      </c>
      <c r="I538" t="s">
        <v>1363</v>
      </c>
      <c r="K538" t="s">
        <v>223</v>
      </c>
      <c r="L538" t="s">
        <v>217</v>
      </c>
      <c r="M538" t="s">
        <v>218</v>
      </c>
      <c r="N538" t="s">
        <v>2459</v>
      </c>
      <c r="O538" t="s">
        <v>2459</v>
      </c>
      <c r="Q538">
        <f t="shared" si="16"/>
        <v>1</v>
      </c>
      <c r="R538">
        <f t="shared" si="17"/>
        <v>1</v>
      </c>
    </row>
    <row r="539" spans="1:18" x14ac:dyDescent="0.35">
      <c r="A539" s="11" t="s">
        <v>82</v>
      </c>
      <c r="B539" s="11" t="s">
        <v>1364</v>
      </c>
      <c r="C539" s="11" t="s">
        <v>1365</v>
      </c>
      <c r="D539" s="11" t="s">
        <v>217</v>
      </c>
      <c r="E539" s="11" t="s">
        <v>218</v>
      </c>
      <c r="F539" s="11" t="s">
        <v>222</v>
      </c>
      <c r="G539" s="11" t="s">
        <v>223</v>
      </c>
      <c r="I539" t="s">
        <v>1365</v>
      </c>
      <c r="K539" t="s">
        <v>223</v>
      </c>
      <c r="L539" t="s">
        <v>217</v>
      </c>
      <c r="M539" t="s">
        <v>218</v>
      </c>
      <c r="N539" t="s">
        <v>2459</v>
      </c>
      <c r="O539" t="s">
        <v>2459</v>
      </c>
      <c r="Q539">
        <f t="shared" si="16"/>
        <v>1</v>
      </c>
      <c r="R539">
        <f t="shared" si="17"/>
        <v>1</v>
      </c>
    </row>
    <row r="540" spans="1:18" x14ac:dyDescent="0.35">
      <c r="A540" s="11" t="s">
        <v>82</v>
      </c>
      <c r="B540" s="11" t="s">
        <v>1366</v>
      </c>
      <c r="C540" s="11" t="s">
        <v>1367</v>
      </c>
      <c r="D540" s="11" t="s">
        <v>217</v>
      </c>
      <c r="E540" s="11" t="s">
        <v>218</v>
      </c>
      <c r="F540" s="11" t="s">
        <v>222</v>
      </c>
      <c r="G540" s="11" t="s">
        <v>223</v>
      </c>
      <c r="I540" t="s">
        <v>1367</v>
      </c>
      <c r="K540" t="s">
        <v>223</v>
      </c>
      <c r="L540" t="s">
        <v>217</v>
      </c>
      <c r="M540" t="s">
        <v>218</v>
      </c>
      <c r="N540" t="s">
        <v>2459</v>
      </c>
      <c r="O540" t="s">
        <v>2459</v>
      </c>
      <c r="Q540">
        <f t="shared" si="16"/>
        <v>1</v>
      </c>
      <c r="R540">
        <f t="shared" si="17"/>
        <v>1</v>
      </c>
    </row>
    <row r="541" spans="1:18" x14ac:dyDescent="0.35">
      <c r="A541" s="11" t="s">
        <v>82</v>
      </c>
      <c r="B541" s="11" t="s">
        <v>1368</v>
      </c>
      <c r="C541" s="11" t="s">
        <v>1369</v>
      </c>
      <c r="D541" s="11" t="s">
        <v>217</v>
      </c>
      <c r="E541" s="11" t="s">
        <v>218</v>
      </c>
      <c r="F541" s="11" t="s">
        <v>222</v>
      </c>
      <c r="G541" s="11" t="s">
        <v>223</v>
      </c>
      <c r="I541" t="s">
        <v>1369</v>
      </c>
      <c r="K541" t="s">
        <v>223</v>
      </c>
      <c r="L541" t="s">
        <v>217</v>
      </c>
      <c r="M541" t="s">
        <v>218</v>
      </c>
      <c r="N541" t="s">
        <v>2459</v>
      </c>
      <c r="O541" t="s">
        <v>2459</v>
      </c>
      <c r="Q541">
        <f t="shared" si="16"/>
        <v>1</v>
      </c>
      <c r="R541">
        <f t="shared" si="17"/>
        <v>1</v>
      </c>
    </row>
    <row r="542" spans="1:18" x14ac:dyDescent="0.35">
      <c r="A542" s="11" t="s">
        <v>82</v>
      </c>
      <c r="B542" s="11" t="s">
        <v>1370</v>
      </c>
      <c r="C542" s="11" t="s">
        <v>1371</v>
      </c>
      <c r="D542" s="11" t="s">
        <v>217</v>
      </c>
      <c r="E542" s="11" t="s">
        <v>218</v>
      </c>
      <c r="F542" s="11" t="s">
        <v>222</v>
      </c>
      <c r="G542" s="11" t="s">
        <v>223</v>
      </c>
      <c r="I542" t="s">
        <v>1371</v>
      </c>
      <c r="K542" t="s">
        <v>223</v>
      </c>
      <c r="L542" t="s">
        <v>217</v>
      </c>
      <c r="M542" t="s">
        <v>218</v>
      </c>
      <c r="N542" t="s">
        <v>2459</v>
      </c>
      <c r="O542" t="s">
        <v>2459</v>
      </c>
      <c r="Q542">
        <f t="shared" si="16"/>
        <v>1</v>
      </c>
      <c r="R542">
        <f t="shared" si="17"/>
        <v>1</v>
      </c>
    </row>
    <row r="543" spans="1:18" x14ac:dyDescent="0.35">
      <c r="A543" s="11" t="s">
        <v>82</v>
      </c>
      <c r="B543" s="11" t="s">
        <v>1372</v>
      </c>
      <c r="C543" s="11" t="s">
        <v>1373</v>
      </c>
      <c r="D543" s="11" t="s">
        <v>217</v>
      </c>
      <c r="E543" s="11" t="s">
        <v>218</v>
      </c>
      <c r="F543" s="11" t="s">
        <v>222</v>
      </c>
      <c r="G543" s="11" t="s">
        <v>223</v>
      </c>
      <c r="I543" t="s">
        <v>1373</v>
      </c>
      <c r="K543" t="s">
        <v>223</v>
      </c>
      <c r="L543" t="s">
        <v>217</v>
      </c>
      <c r="M543" t="s">
        <v>218</v>
      </c>
      <c r="N543" t="s">
        <v>2459</v>
      </c>
      <c r="O543" t="s">
        <v>2459</v>
      </c>
      <c r="Q543">
        <f t="shared" si="16"/>
        <v>1</v>
      </c>
      <c r="R543">
        <f t="shared" si="17"/>
        <v>1</v>
      </c>
    </row>
    <row r="544" spans="1:18" x14ac:dyDescent="0.35">
      <c r="A544" s="11" t="s">
        <v>82</v>
      </c>
      <c r="B544" s="11" t="s">
        <v>1374</v>
      </c>
      <c r="C544" s="11" t="s">
        <v>1375</v>
      </c>
      <c r="D544" s="11" t="s">
        <v>217</v>
      </c>
      <c r="E544" s="11" t="s">
        <v>218</v>
      </c>
      <c r="F544" s="11" t="s">
        <v>222</v>
      </c>
      <c r="G544" s="11" t="s">
        <v>223</v>
      </c>
      <c r="I544" t="s">
        <v>1375</v>
      </c>
      <c r="K544" t="s">
        <v>223</v>
      </c>
      <c r="L544" t="s">
        <v>217</v>
      </c>
      <c r="M544" t="s">
        <v>218</v>
      </c>
      <c r="N544" t="s">
        <v>2459</v>
      </c>
      <c r="O544" t="s">
        <v>2459</v>
      </c>
      <c r="Q544">
        <f t="shared" si="16"/>
        <v>1</v>
      </c>
      <c r="R544">
        <f t="shared" si="17"/>
        <v>1</v>
      </c>
    </row>
    <row r="545" spans="1:18" x14ac:dyDescent="0.35">
      <c r="A545" s="11" t="s">
        <v>82</v>
      </c>
      <c r="B545" s="11" t="s">
        <v>1376</v>
      </c>
      <c r="C545" s="11" t="s">
        <v>1377</v>
      </c>
      <c r="D545" s="11" t="s">
        <v>217</v>
      </c>
      <c r="E545" s="11" t="s">
        <v>218</v>
      </c>
      <c r="F545" s="11" t="s">
        <v>222</v>
      </c>
      <c r="G545" s="11" t="s">
        <v>223</v>
      </c>
      <c r="I545" t="s">
        <v>1377</v>
      </c>
      <c r="K545" t="s">
        <v>223</v>
      </c>
      <c r="L545" t="s">
        <v>217</v>
      </c>
      <c r="M545" t="s">
        <v>218</v>
      </c>
      <c r="N545" t="s">
        <v>2459</v>
      </c>
      <c r="O545" t="s">
        <v>2459</v>
      </c>
      <c r="Q545">
        <f t="shared" si="16"/>
        <v>1</v>
      </c>
      <c r="R545">
        <f t="shared" si="17"/>
        <v>1</v>
      </c>
    </row>
    <row r="546" spans="1:18" x14ac:dyDescent="0.35">
      <c r="A546" s="11" t="s">
        <v>82</v>
      </c>
      <c r="B546" s="11" t="s">
        <v>1378</v>
      </c>
      <c r="C546" s="11" t="s">
        <v>1379</v>
      </c>
      <c r="D546" s="11" t="s">
        <v>217</v>
      </c>
      <c r="E546" s="11" t="s">
        <v>218</v>
      </c>
      <c r="F546" s="11" t="s">
        <v>225</v>
      </c>
      <c r="G546" s="11" t="s">
        <v>226</v>
      </c>
      <c r="I546" t="s">
        <v>1379</v>
      </c>
      <c r="K546" t="s">
        <v>226</v>
      </c>
      <c r="L546" t="s">
        <v>217</v>
      </c>
      <c r="M546" t="s">
        <v>218</v>
      </c>
      <c r="N546" t="s">
        <v>2459</v>
      </c>
      <c r="O546" t="s">
        <v>2459</v>
      </c>
      <c r="Q546">
        <f t="shared" si="16"/>
        <v>1</v>
      </c>
      <c r="R546">
        <f t="shared" si="17"/>
        <v>1</v>
      </c>
    </row>
    <row r="547" spans="1:18" x14ac:dyDescent="0.35">
      <c r="A547" s="11" t="s">
        <v>82</v>
      </c>
      <c r="B547" s="11" t="s">
        <v>1380</v>
      </c>
      <c r="C547" s="11" t="s">
        <v>1381</v>
      </c>
      <c r="D547" s="11" t="s">
        <v>217</v>
      </c>
      <c r="E547" s="11" t="s">
        <v>218</v>
      </c>
      <c r="F547" s="11" t="s">
        <v>225</v>
      </c>
      <c r="G547" s="11" t="s">
        <v>226</v>
      </c>
      <c r="I547" t="s">
        <v>1381</v>
      </c>
      <c r="K547" t="s">
        <v>226</v>
      </c>
      <c r="L547" t="s">
        <v>217</v>
      </c>
      <c r="M547" t="s">
        <v>218</v>
      </c>
      <c r="N547" t="s">
        <v>2459</v>
      </c>
      <c r="O547" t="s">
        <v>2459</v>
      </c>
      <c r="Q547">
        <f t="shared" si="16"/>
        <v>1</v>
      </c>
      <c r="R547">
        <f t="shared" si="17"/>
        <v>1</v>
      </c>
    </row>
    <row r="548" spans="1:18" x14ac:dyDescent="0.35">
      <c r="A548" s="11" t="s">
        <v>82</v>
      </c>
      <c r="B548" s="11" t="s">
        <v>1382</v>
      </c>
      <c r="C548" s="11" t="s">
        <v>226</v>
      </c>
      <c r="D548" s="11" t="s">
        <v>217</v>
      </c>
      <c r="E548" s="11" t="s">
        <v>218</v>
      </c>
      <c r="F548" s="11" t="s">
        <v>225</v>
      </c>
      <c r="G548" s="11" t="s">
        <v>226</v>
      </c>
      <c r="I548" t="s">
        <v>226</v>
      </c>
      <c r="K548" t="s">
        <v>226</v>
      </c>
      <c r="L548" t="s">
        <v>217</v>
      </c>
      <c r="M548" t="s">
        <v>218</v>
      </c>
      <c r="N548" t="s">
        <v>2459</v>
      </c>
      <c r="O548" t="s">
        <v>2459</v>
      </c>
      <c r="Q548">
        <f t="shared" si="16"/>
        <v>1</v>
      </c>
      <c r="R548">
        <f t="shared" si="17"/>
        <v>1</v>
      </c>
    </row>
    <row r="549" spans="1:18" x14ac:dyDescent="0.35">
      <c r="A549" s="11" t="s">
        <v>82</v>
      </c>
      <c r="B549" s="11" t="s">
        <v>1383</v>
      </c>
      <c r="C549" s="11" t="s">
        <v>1384</v>
      </c>
      <c r="D549" s="11" t="s">
        <v>228</v>
      </c>
      <c r="E549" s="11" t="s">
        <v>229</v>
      </c>
      <c r="F549" s="11" t="s">
        <v>230</v>
      </c>
      <c r="G549" s="11" t="s">
        <v>231</v>
      </c>
      <c r="H549" s="12" t="s">
        <v>1383</v>
      </c>
      <c r="I549" t="s">
        <v>1384</v>
      </c>
      <c r="J549" s="13"/>
      <c r="K549" t="s">
        <v>231</v>
      </c>
      <c r="L549" t="s">
        <v>228</v>
      </c>
      <c r="M549" t="s">
        <v>229</v>
      </c>
      <c r="N549" t="s">
        <v>2459</v>
      </c>
      <c r="O549" t="s">
        <v>2459</v>
      </c>
      <c r="Q549">
        <f t="shared" si="16"/>
        <v>1</v>
      </c>
      <c r="R549">
        <f t="shared" si="17"/>
        <v>1</v>
      </c>
    </row>
    <row r="550" spans="1:18" x14ac:dyDescent="0.35">
      <c r="A550" s="11" t="s">
        <v>82</v>
      </c>
      <c r="B550" s="11" t="s">
        <v>1385</v>
      </c>
      <c r="C550" s="11" t="s">
        <v>1386</v>
      </c>
      <c r="D550" s="11" t="s">
        <v>228</v>
      </c>
      <c r="E550" s="11" t="s">
        <v>229</v>
      </c>
      <c r="F550" s="11" t="s">
        <v>230</v>
      </c>
      <c r="G550" s="11" t="s">
        <v>231</v>
      </c>
      <c r="H550" s="12" t="s">
        <v>1385</v>
      </c>
      <c r="I550" t="s">
        <v>1386</v>
      </c>
      <c r="J550" s="13"/>
      <c r="K550" t="s">
        <v>231</v>
      </c>
      <c r="L550" t="s">
        <v>228</v>
      </c>
      <c r="M550" t="s">
        <v>229</v>
      </c>
      <c r="N550" t="s">
        <v>2459</v>
      </c>
      <c r="O550" t="s">
        <v>2459</v>
      </c>
      <c r="Q550">
        <f t="shared" si="16"/>
        <v>1</v>
      </c>
      <c r="R550">
        <f t="shared" si="17"/>
        <v>1</v>
      </c>
    </row>
    <row r="551" spans="1:18" x14ac:dyDescent="0.35">
      <c r="A551" s="11" t="s">
        <v>82</v>
      </c>
      <c r="B551" s="11" t="s">
        <v>1387</v>
      </c>
      <c r="C551" s="11" t="s">
        <v>1388</v>
      </c>
      <c r="D551" s="11" t="s">
        <v>228</v>
      </c>
      <c r="E551" s="11" t="s">
        <v>229</v>
      </c>
      <c r="F551" s="11" t="s">
        <v>230</v>
      </c>
      <c r="G551" s="11" t="s">
        <v>231</v>
      </c>
      <c r="H551" s="12" t="s">
        <v>1387</v>
      </c>
      <c r="I551" t="s">
        <v>1388</v>
      </c>
      <c r="J551" s="13"/>
      <c r="K551" t="s">
        <v>231</v>
      </c>
      <c r="L551" t="s">
        <v>228</v>
      </c>
      <c r="M551" t="s">
        <v>229</v>
      </c>
      <c r="N551" t="s">
        <v>2459</v>
      </c>
      <c r="O551" t="s">
        <v>2459</v>
      </c>
      <c r="Q551">
        <f t="shared" si="16"/>
        <v>1</v>
      </c>
      <c r="R551">
        <f t="shared" si="17"/>
        <v>1</v>
      </c>
    </row>
    <row r="552" spans="1:18" x14ac:dyDescent="0.35">
      <c r="A552" s="11" t="s">
        <v>82</v>
      </c>
      <c r="B552" s="11" t="s">
        <v>1389</v>
      </c>
      <c r="C552" s="11" t="s">
        <v>1390</v>
      </c>
      <c r="D552" s="11" t="s">
        <v>228</v>
      </c>
      <c r="E552" s="11" t="s">
        <v>229</v>
      </c>
      <c r="F552" s="11" t="s">
        <v>230</v>
      </c>
      <c r="G552" s="11" t="s">
        <v>231</v>
      </c>
      <c r="H552" s="12" t="s">
        <v>1389</v>
      </c>
      <c r="I552" t="s">
        <v>1390</v>
      </c>
      <c r="J552" s="13"/>
      <c r="K552" t="s">
        <v>231</v>
      </c>
      <c r="L552" t="s">
        <v>228</v>
      </c>
      <c r="M552" t="s">
        <v>229</v>
      </c>
      <c r="N552" t="s">
        <v>2459</v>
      </c>
      <c r="O552" t="s">
        <v>2459</v>
      </c>
      <c r="Q552">
        <f t="shared" si="16"/>
        <v>1</v>
      </c>
      <c r="R552">
        <f t="shared" si="17"/>
        <v>1</v>
      </c>
    </row>
    <row r="553" spans="1:18" x14ac:dyDescent="0.35">
      <c r="A553" s="11" t="s">
        <v>82</v>
      </c>
      <c r="B553" s="11" t="s">
        <v>1391</v>
      </c>
      <c r="C553" s="11" t="s">
        <v>1392</v>
      </c>
      <c r="D553" s="11" t="s">
        <v>228</v>
      </c>
      <c r="E553" s="11" t="s">
        <v>229</v>
      </c>
      <c r="F553" s="11" t="s">
        <v>230</v>
      </c>
      <c r="G553" s="11" t="s">
        <v>231</v>
      </c>
      <c r="H553" s="12"/>
      <c r="I553" t="s">
        <v>1392</v>
      </c>
      <c r="K553" t="s">
        <v>50</v>
      </c>
      <c r="L553" t="s">
        <v>228</v>
      </c>
      <c r="M553" t="s">
        <v>229</v>
      </c>
      <c r="N553" t="s">
        <v>2410</v>
      </c>
      <c r="O553" t="s">
        <v>2459</v>
      </c>
      <c r="Q553" t="e">
        <f t="shared" si="16"/>
        <v>#N/A</v>
      </c>
      <c r="R553">
        <f t="shared" si="17"/>
        <v>1</v>
      </c>
    </row>
    <row r="554" spans="1:18" x14ac:dyDescent="0.35">
      <c r="A554" s="11"/>
      <c r="B554" s="11"/>
      <c r="C554" s="11"/>
      <c r="D554" s="11"/>
      <c r="E554" s="11"/>
      <c r="F554" s="11"/>
      <c r="G554" s="11"/>
      <c r="I554" t="s">
        <v>2143</v>
      </c>
      <c r="K554" t="s">
        <v>50</v>
      </c>
      <c r="L554" t="s">
        <v>228</v>
      </c>
      <c r="M554" t="s">
        <v>229</v>
      </c>
      <c r="N554" t="s">
        <v>2410</v>
      </c>
      <c r="O554" t="s">
        <v>2459</v>
      </c>
      <c r="P554" t="s">
        <v>2275</v>
      </c>
      <c r="Q554" t="e">
        <f t="shared" si="16"/>
        <v>#N/A</v>
      </c>
      <c r="R554" t="e">
        <f t="shared" si="17"/>
        <v>#N/A</v>
      </c>
    </row>
    <row r="555" spans="1:18" x14ac:dyDescent="0.35">
      <c r="A555" s="11"/>
      <c r="B555" s="11"/>
      <c r="C555" s="11"/>
      <c r="D555" s="11"/>
      <c r="E555" s="11"/>
      <c r="F555" s="11"/>
      <c r="G555" s="11"/>
      <c r="I555" t="s">
        <v>2144</v>
      </c>
      <c r="K555" t="s">
        <v>50</v>
      </c>
      <c r="L555" t="s">
        <v>228</v>
      </c>
      <c r="M555" t="s">
        <v>229</v>
      </c>
      <c r="N555" t="s">
        <v>2410</v>
      </c>
      <c r="O555" t="s">
        <v>2459</v>
      </c>
      <c r="P555" t="s">
        <v>2275</v>
      </c>
      <c r="Q555" t="e">
        <f t="shared" si="16"/>
        <v>#N/A</v>
      </c>
      <c r="R555" t="e">
        <f t="shared" si="17"/>
        <v>#N/A</v>
      </c>
    </row>
    <row r="556" spans="1:18" x14ac:dyDescent="0.35">
      <c r="A556" s="11"/>
      <c r="B556" s="11"/>
      <c r="C556" s="11"/>
      <c r="D556" s="11"/>
      <c r="E556" s="11"/>
      <c r="F556" s="11"/>
      <c r="G556" s="11"/>
      <c r="I556" t="s">
        <v>2264</v>
      </c>
      <c r="K556" t="s">
        <v>50</v>
      </c>
      <c r="L556" t="s">
        <v>228</v>
      </c>
      <c r="M556" t="s">
        <v>229</v>
      </c>
      <c r="N556" t="s">
        <v>2410</v>
      </c>
      <c r="O556" t="s">
        <v>2410</v>
      </c>
      <c r="P556" t="s">
        <v>2276</v>
      </c>
      <c r="Q556" t="e">
        <f t="shared" si="16"/>
        <v>#N/A</v>
      </c>
      <c r="R556" t="e">
        <f t="shared" si="17"/>
        <v>#N/A</v>
      </c>
    </row>
    <row r="557" spans="1:18" x14ac:dyDescent="0.35">
      <c r="A557" s="11" t="s">
        <v>82</v>
      </c>
      <c r="B557" s="11" t="s">
        <v>1393</v>
      </c>
      <c r="C557" s="11" t="s">
        <v>1394</v>
      </c>
      <c r="D557" s="11" t="s">
        <v>228</v>
      </c>
      <c r="E557" s="11" t="s">
        <v>229</v>
      </c>
      <c r="F557" s="11" t="s">
        <v>230</v>
      </c>
      <c r="G557" s="11" t="s">
        <v>231</v>
      </c>
      <c r="I557" t="s">
        <v>1394</v>
      </c>
      <c r="J557" s="13"/>
      <c r="K557" t="s">
        <v>68</v>
      </c>
      <c r="L557" t="s">
        <v>228</v>
      </c>
      <c r="M557" t="s">
        <v>229</v>
      </c>
      <c r="N557" t="s">
        <v>2410</v>
      </c>
      <c r="O557" t="s">
        <v>2459</v>
      </c>
      <c r="Q557" t="e">
        <f t="shared" si="16"/>
        <v>#N/A</v>
      </c>
      <c r="R557">
        <f t="shared" si="17"/>
        <v>1</v>
      </c>
    </row>
    <row r="558" spans="1:18" x14ac:dyDescent="0.35">
      <c r="A558" s="11" t="s">
        <v>82</v>
      </c>
      <c r="B558" s="11" t="s">
        <v>1395</v>
      </c>
      <c r="C558" s="11" t="s">
        <v>1396</v>
      </c>
      <c r="D558" s="11" t="s">
        <v>228</v>
      </c>
      <c r="E558" s="11" t="s">
        <v>229</v>
      </c>
      <c r="F558" s="11" t="s">
        <v>233</v>
      </c>
      <c r="G558" s="11" t="s">
        <v>67</v>
      </c>
      <c r="H558" s="12" t="s">
        <v>1395</v>
      </c>
      <c r="I558" t="s">
        <v>1396</v>
      </c>
      <c r="J558" s="13"/>
      <c r="K558" t="s">
        <v>68</v>
      </c>
      <c r="L558" t="s">
        <v>228</v>
      </c>
      <c r="M558" t="s">
        <v>229</v>
      </c>
      <c r="N558" t="s">
        <v>2459</v>
      </c>
      <c r="O558" t="s">
        <v>2459</v>
      </c>
      <c r="P558" t="s">
        <v>2248</v>
      </c>
      <c r="Q558" t="e">
        <f t="shared" si="16"/>
        <v>#N/A</v>
      </c>
      <c r="R558">
        <f t="shared" si="17"/>
        <v>1</v>
      </c>
    </row>
    <row r="559" spans="1:18" x14ac:dyDescent="0.35">
      <c r="A559" s="11" t="s">
        <v>82</v>
      </c>
      <c r="B559" s="11" t="s">
        <v>1397</v>
      </c>
      <c r="C559" s="11" t="s">
        <v>1398</v>
      </c>
      <c r="D559" s="11" t="s">
        <v>228</v>
      </c>
      <c r="E559" s="11" t="s">
        <v>229</v>
      </c>
      <c r="F559" s="11" t="s">
        <v>233</v>
      </c>
      <c r="G559" s="11" t="s">
        <v>67</v>
      </c>
      <c r="H559" s="12" t="s">
        <v>1397</v>
      </c>
      <c r="I559" t="s">
        <v>1398</v>
      </c>
      <c r="J559" s="13"/>
      <c r="K559" t="s">
        <v>68</v>
      </c>
      <c r="L559" t="s">
        <v>228</v>
      </c>
      <c r="M559" t="s">
        <v>229</v>
      </c>
      <c r="N559" t="s">
        <v>2459</v>
      </c>
      <c r="O559" t="s">
        <v>2459</v>
      </c>
      <c r="P559" t="s">
        <v>2248</v>
      </c>
      <c r="Q559" t="e">
        <f t="shared" si="16"/>
        <v>#N/A</v>
      </c>
      <c r="R559">
        <f t="shared" si="17"/>
        <v>1</v>
      </c>
    </row>
    <row r="560" spans="1:18" x14ac:dyDescent="0.35">
      <c r="A560" s="11" t="s">
        <v>82</v>
      </c>
      <c r="B560" s="11" t="s">
        <v>1399</v>
      </c>
      <c r="C560" s="11" t="s">
        <v>67</v>
      </c>
      <c r="D560" s="11" t="s">
        <v>228</v>
      </c>
      <c r="E560" s="11" t="s">
        <v>229</v>
      </c>
      <c r="F560" s="11" t="s">
        <v>233</v>
      </c>
      <c r="G560" s="11" t="s">
        <v>67</v>
      </c>
      <c r="H560" s="14" t="s">
        <v>1399</v>
      </c>
      <c r="I560" t="s">
        <v>67</v>
      </c>
      <c r="J560" s="13"/>
      <c r="K560" t="s">
        <v>68</v>
      </c>
      <c r="L560" t="s">
        <v>228</v>
      </c>
      <c r="M560" t="s">
        <v>229</v>
      </c>
      <c r="N560" t="s">
        <v>2459</v>
      </c>
      <c r="O560" t="s">
        <v>2459</v>
      </c>
      <c r="P560" t="s">
        <v>2248</v>
      </c>
      <c r="Q560" t="e">
        <f t="shared" si="16"/>
        <v>#N/A</v>
      </c>
      <c r="R560">
        <f t="shared" si="17"/>
        <v>1</v>
      </c>
    </row>
    <row r="561" spans="1:18" x14ac:dyDescent="0.35">
      <c r="A561" s="11" t="s">
        <v>82</v>
      </c>
      <c r="B561" s="11" t="s">
        <v>1400</v>
      </c>
      <c r="C561" s="11" t="s">
        <v>1401</v>
      </c>
      <c r="D561" s="11" t="s">
        <v>228</v>
      </c>
      <c r="E561" s="11" t="s">
        <v>229</v>
      </c>
      <c r="F561" s="11" t="s">
        <v>233</v>
      </c>
      <c r="G561" s="11" t="s">
        <v>67</v>
      </c>
      <c r="H561" s="14" t="s">
        <v>1400</v>
      </c>
      <c r="I561" t="s">
        <v>1401</v>
      </c>
      <c r="J561" s="13"/>
      <c r="K561" t="s">
        <v>68</v>
      </c>
      <c r="L561" t="s">
        <v>228</v>
      </c>
      <c r="M561" t="s">
        <v>229</v>
      </c>
      <c r="N561" t="s">
        <v>2459</v>
      </c>
      <c r="O561" t="s">
        <v>2459</v>
      </c>
      <c r="P561" t="s">
        <v>2248</v>
      </c>
      <c r="Q561" t="e">
        <f t="shared" si="16"/>
        <v>#N/A</v>
      </c>
      <c r="R561">
        <f t="shared" si="17"/>
        <v>1</v>
      </c>
    </row>
    <row r="562" spans="1:18" x14ac:dyDescent="0.35">
      <c r="A562" s="11" t="s">
        <v>82</v>
      </c>
      <c r="B562" s="11" t="s">
        <v>1402</v>
      </c>
      <c r="C562" s="11" t="s">
        <v>1403</v>
      </c>
      <c r="D562" s="11" t="s">
        <v>228</v>
      </c>
      <c r="E562" s="11" t="s">
        <v>229</v>
      </c>
      <c r="F562" s="11" t="s">
        <v>233</v>
      </c>
      <c r="G562" s="11" t="s">
        <v>67</v>
      </c>
      <c r="H562" s="14" t="s">
        <v>1402</v>
      </c>
      <c r="I562" t="s">
        <v>1403</v>
      </c>
      <c r="J562" s="13"/>
      <c r="K562" t="s">
        <v>68</v>
      </c>
      <c r="L562" t="s">
        <v>228</v>
      </c>
      <c r="M562" t="s">
        <v>229</v>
      </c>
      <c r="N562" t="s">
        <v>2459</v>
      </c>
      <c r="O562" t="s">
        <v>2459</v>
      </c>
      <c r="P562" t="s">
        <v>2248</v>
      </c>
      <c r="Q562" t="e">
        <f t="shared" si="16"/>
        <v>#N/A</v>
      </c>
      <c r="R562">
        <f t="shared" si="17"/>
        <v>1</v>
      </c>
    </row>
    <row r="563" spans="1:18" x14ac:dyDescent="0.35">
      <c r="A563" s="11" t="s">
        <v>82</v>
      </c>
      <c r="B563" s="11" t="s">
        <v>1404</v>
      </c>
      <c r="C563" s="11" t="s">
        <v>1405</v>
      </c>
      <c r="D563" s="11" t="s">
        <v>228</v>
      </c>
      <c r="E563" s="11" t="s">
        <v>229</v>
      </c>
      <c r="F563" s="11" t="s">
        <v>233</v>
      </c>
      <c r="G563" s="11" t="s">
        <v>67</v>
      </c>
      <c r="H563" s="14" t="s">
        <v>1404</v>
      </c>
      <c r="I563" t="s">
        <v>1405</v>
      </c>
      <c r="J563" s="13"/>
      <c r="K563" t="s">
        <v>68</v>
      </c>
      <c r="L563" t="s">
        <v>228</v>
      </c>
      <c r="M563" t="s">
        <v>229</v>
      </c>
      <c r="N563" t="s">
        <v>2459</v>
      </c>
      <c r="O563" t="s">
        <v>2459</v>
      </c>
      <c r="P563" t="s">
        <v>2248</v>
      </c>
      <c r="Q563" t="e">
        <f t="shared" si="16"/>
        <v>#N/A</v>
      </c>
      <c r="R563">
        <f t="shared" si="17"/>
        <v>1</v>
      </c>
    </row>
    <row r="564" spans="1:18" x14ac:dyDescent="0.35">
      <c r="A564" s="11" t="s">
        <v>82</v>
      </c>
      <c r="B564" s="11" t="s">
        <v>1406</v>
      </c>
      <c r="C564" s="11" t="s">
        <v>1407</v>
      </c>
      <c r="D564" s="11" t="s">
        <v>228</v>
      </c>
      <c r="E564" s="11" t="s">
        <v>229</v>
      </c>
      <c r="F564" s="11" t="s">
        <v>233</v>
      </c>
      <c r="G564" s="11" t="s">
        <v>67</v>
      </c>
      <c r="I564" t="s">
        <v>1407</v>
      </c>
      <c r="K564" t="s">
        <v>50</v>
      </c>
      <c r="L564" t="s">
        <v>228</v>
      </c>
      <c r="M564" t="s">
        <v>229</v>
      </c>
      <c r="N564" t="s">
        <v>2410</v>
      </c>
      <c r="O564" t="s">
        <v>2459</v>
      </c>
      <c r="Q564" t="e">
        <f t="shared" si="16"/>
        <v>#N/A</v>
      </c>
      <c r="R564">
        <f t="shared" si="17"/>
        <v>1</v>
      </c>
    </row>
    <row r="565" spans="1:18" x14ac:dyDescent="0.35">
      <c r="A565" s="11" t="s">
        <v>82</v>
      </c>
      <c r="B565" s="11" t="s">
        <v>1408</v>
      </c>
      <c r="C565" s="11" t="s">
        <v>1409</v>
      </c>
      <c r="D565" s="11" t="s">
        <v>228</v>
      </c>
      <c r="E565" s="11" t="s">
        <v>229</v>
      </c>
      <c r="F565" s="11" t="s">
        <v>233</v>
      </c>
      <c r="G565" s="11" t="s">
        <v>67</v>
      </c>
      <c r="I565" t="s">
        <v>1409</v>
      </c>
      <c r="K565" t="s">
        <v>50</v>
      </c>
      <c r="L565" t="s">
        <v>228</v>
      </c>
      <c r="M565" t="s">
        <v>229</v>
      </c>
      <c r="N565" t="s">
        <v>2410</v>
      </c>
      <c r="O565" t="s">
        <v>2459</v>
      </c>
      <c r="Q565" t="e">
        <f t="shared" si="16"/>
        <v>#N/A</v>
      </c>
      <c r="R565">
        <f t="shared" si="17"/>
        <v>1</v>
      </c>
    </row>
    <row r="566" spans="1:18" x14ac:dyDescent="0.35">
      <c r="A566" s="11" t="s">
        <v>82</v>
      </c>
      <c r="B566" s="11" t="s">
        <v>1410</v>
      </c>
      <c r="C566" s="11" t="s">
        <v>1411</v>
      </c>
      <c r="D566" s="11" t="s">
        <v>235</v>
      </c>
      <c r="E566" s="11" t="s">
        <v>236</v>
      </c>
      <c r="F566" s="11" t="s">
        <v>237</v>
      </c>
      <c r="G566" s="11" t="s">
        <v>238</v>
      </c>
      <c r="I566" t="s">
        <v>1411</v>
      </c>
      <c r="J566" s="13"/>
      <c r="K566" t="s">
        <v>68</v>
      </c>
      <c r="L566" t="s">
        <v>228</v>
      </c>
      <c r="M566" t="s">
        <v>229</v>
      </c>
      <c r="N566" t="s">
        <v>2410</v>
      </c>
      <c r="O566" t="s">
        <v>2410</v>
      </c>
      <c r="Q566" t="e">
        <f t="shared" si="16"/>
        <v>#N/A</v>
      </c>
      <c r="R566" t="e">
        <f t="shared" si="17"/>
        <v>#N/A</v>
      </c>
    </row>
    <row r="567" spans="1:18" x14ac:dyDescent="0.35">
      <c r="A567" s="11"/>
      <c r="B567" s="11"/>
      <c r="C567" s="11"/>
      <c r="D567" s="11"/>
      <c r="E567" s="11"/>
      <c r="F567" s="11"/>
      <c r="G567" s="11"/>
      <c r="I567" t="s">
        <v>2141</v>
      </c>
      <c r="K567" t="s">
        <v>68</v>
      </c>
      <c r="L567" t="s">
        <v>228</v>
      </c>
      <c r="M567" t="s">
        <v>229</v>
      </c>
      <c r="N567" t="s">
        <v>2410</v>
      </c>
      <c r="O567" t="s">
        <v>2410</v>
      </c>
      <c r="P567" t="s">
        <v>2277</v>
      </c>
      <c r="Q567" t="e">
        <f t="shared" si="16"/>
        <v>#N/A</v>
      </c>
      <c r="R567" t="e">
        <f t="shared" si="17"/>
        <v>#N/A</v>
      </c>
    </row>
    <row r="568" spans="1:18" x14ac:dyDescent="0.35">
      <c r="A568" s="11"/>
      <c r="B568" s="11"/>
      <c r="C568" s="11"/>
      <c r="D568" s="11"/>
      <c r="E568" s="11"/>
      <c r="F568" s="11"/>
      <c r="G568" s="11"/>
      <c r="I568" t="s">
        <v>2142</v>
      </c>
      <c r="K568" t="s">
        <v>50</v>
      </c>
      <c r="L568" t="s">
        <v>228</v>
      </c>
      <c r="M568" t="s">
        <v>229</v>
      </c>
      <c r="N568" t="s">
        <v>2410</v>
      </c>
      <c r="O568" t="s">
        <v>2410</v>
      </c>
      <c r="P568" t="s">
        <v>2277</v>
      </c>
      <c r="Q568" t="e">
        <f t="shared" si="16"/>
        <v>#N/A</v>
      </c>
      <c r="R568" t="e">
        <f t="shared" si="17"/>
        <v>#N/A</v>
      </c>
    </row>
    <row r="569" spans="1:18" x14ac:dyDescent="0.35">
      <c r="A569" s="11"/>
      <c r="B569" s="11"/>
      <c r="C569" s="11"/>
      <c r="D569" s="11"/>
      <c r="E569" s="11"/>
      <c r="F569" s="11"/>
      <c r="G569" s="11"/>
      <c r="I569" t="s">
        <v>2145</v>
      </c>
      <c r="K569" t="s">
        <v>238</v>
      </c>
      <c r="L569" t="s">
        <v>235</v>
      </c>
      <c r="M569" t="s">
        <v>236</v>
      </c>
      <c r="P569" t="s">
        <v>2277</v>
      </c>
      <c r="Q569" t="e">
        <f t="shared" si="16"/>
        <v>#N/A</v>
      </c>
      <c r="R569" t="e">
        <f t="shared" si="17"/>
        <v>#N/A</v>
      </c>
    </row>
    <row r="570" spans="1:18" x14ac:dyDescent="0.35">
      <c r="A570" s="11" t="s">
        <v>82</v>
      </c>
      <c r="B570" s="11" t="s">
        <v>1412</v>
      </c>
      <c r="C570" s="11" t="s">
        <v>1413</v>
      </c>
      <c r="D570" s="11" t="s">
        <v>235</v>
      </c>
      <c r="E570" s="11" t="s">
        <v>236</v>
      </c>
      <c r="F570" s="11" t="s">
        <v>237</v>
      </c>
      <c r="G570" s="11" t="s">
        <v>238</v>
      </c>
      <c r="I570" t="s">
        <v>1413</v>
      </c>
      <c r="K570" t="s">
        <v>238</v>
      </c>
      <c r="L570" t="s">
        <v>235</v>
      </c>
      <c r="M570" t="s">
        <v>236</v>
      </c>
      <c r="N570" t="s">
        <v>2459</v>
      </c>
      <c r="O570" t="s">
        <v>2459</v>
      </c>
      <c r="Q570">
        <f t="shared" si="16"/>
        <v>1</v>
      </c>
      <c r="R570">
        <f t="shared" si="17"/>
        <v>1</v>
      </c>
    </row>
    <row r="571" spans="1:18" x14ac:dyDescent="0.35">
      <c r="A571" s="11" t="s">
        <v>82</v>
      </c>
      <c r="B571" s="11" t="s">
        <v>1414</v>
      </c>
      <c r="C571" s="11" t="s">
        <v>238</v>
      </c>
      <c r="D571" s="11" t="s">
        <v>235</v>
      </c>
      <c r="E571" s="11" t="s">
        <v>236</v>
      </c>
      <c r="F571" s="11" t="s">
        <v>237</v>
      </c>
      <c r="G571" s="11" t="s">
        <v>238</v>
      </c>
      <c r="I571" t="s">
        <v>238</v>
      </c>
      <c r="K571" t="s">
        <v>238</v>
      </c>
      <c r="L571" t="s">
        <v>235</v>
      </c>
      <c r="M571" t="s">
        <v>236</v>
      </c>
      <c r="N571" t="s">
        <v>2459</v>
      </c>
      <c r="O571" t="s">
        <v>2459</v>
      </c>
      <c r="Q571">
        <f t="shared" si="16"/>
        <v>1</v>
      </c>
      <c r="R571">
        <f t="shared" si="17"/>
        <v>1</v>
      </c>
    </row>
    <row r="572" spans="1:18" x14ac:dyDescent="0.35">
      <c r="A572" s="11" t="s">
        <v>82</v>
      </c>
      <c r="B572" s="11" t="s">
        <v>1415</v>
      </c>
      <c r="C572" s="11" t="s">
        <v>1416</v>
      </c>
      <c r="D572" s="11" t="s">
        <v>235</v>
      </c>
      <c r="E572" s="11" t="s">
        <v>236</v>
      </c>
      <c r="F572" s="11" t="s">
        <v>237</v>
      </c>
      <c r="G572" s="11" t="s">
        <v>238</v>
      </c>
      <c r="I572" t="s">
        <v>1416</v>
      </c>
      <c r="K572" t="s">
        <v>238</v>
      </c>
      <c r="L572" t="s">
        <v>235</v>
      </c>
      <c r="M572" t="s">
        <v>236</v>
      </c>
      <c r="N572" t="s">
        <v>2459</v>
      </c>
      <c r="O572" t="s">
        <v>2459</v>
      </c>
      <c r="Q572">
        <f t="shared" si="16"/>
        <v>1</v>
      </c>
      <c r="R572">
        <f t="shared" si="17"/>
        <v>1</v>
      </c>
    </row>
    <row r="573" spans="1:18" x14ac:dyDescent="0.35">
      <c r="A573" s="11" t="s">
        <v>82</v>
      </c>
      <c r="B573" s="11" t="s">
        <v>1417</v>
      </c>
      <c r="C573" s="11" t="s">
        <v>1418</v>
      </c>
      <c r="D573" s="11" t="s">
        <v>235</v>
      </c>
      <c r="E573" s="11" t="s">
        <v>236</v>
      </c>
      <c r="F573" s="11" t="s">
        <v>237</v>
      </c>
      <c r="G573" s="11" t="s">
        <v>238</v>
      </c>
      <c r="I573" t="s">
        <v>1418</v>
      </c>
      <c r="K573" t="s">
        <v>238</v>
      </c>
      <c r="L573" t="s">
        <v>235</v>
      </c>
      <c r="M573" t="s">
        <v>236</v>
      </c>
      <c r="N573" t="s">
        <v>2459</v>
      </c>
      <c r="O573" t="s">
        <v>2459</v>
      </c>
      <c r="Q573">
        <f t="shared" si="16"/>
        <v>1</v>
      </c>
      <c r="R573">
        <f t="shared" si="17"/>
        <v>1</v>
      </c>
    </row>
    <row r="574" spans="1:18" x14ac:dyDescent="0.35">
      <c r="A574" s="11"/>
      <c r="B574" s="11"/>
      <c r="C574" s="11"/>
      <c r="D574" s="11"/>
      <c r="E574" s="11"/>
      <c r="F574" s="11"/>
      <c r="G574" s="11"/>
      <c r="I574" t="s">
        <v>2146</v>
      </c>
      <c r="K574" t="s">
        <v>238</v>
      </c>
      <c r="L574" t="s">
        <v>235</v>
      </c>
      <c r="M574" t="s">
        <v>236</v>
      </c>
      <c r="P574" t="s">
        <v>2278</v>
      </c>
      <c r="Q574" t="e">
        <f t="shared" si="16"/>
        <v>#N/A</v>
      </c>
      <c r="R574" t="e">
        <f t="shared" si="17"/>
        <v>#N/A</v>
      </c>
    </row>
    <row r="575" spans="1:18" x14ac:dyDescent="0.35">
      <c r="A575" s="11"/>
      <c r="B575" s="11"/>
      <c r="C575" s="11"/>
      <c r="D575" s="11"/>
      <c r="E575" s="11"/>
      <c r="F575" s="11"/>
      <c r="G575" s="11"/>
      <c r="I575" t="s">
        <v>2147</v>
      </c>
      <c r="K575" t="s">
        <v>238</v>
      </c>
      <c r="L575" t="s">
        <v>235</v>
      </c>
      <c r="M575" t="s">
        <v>236</v>
      </c>
      <c r="P575" t="s">
        <v>2278</v>
      </c>
      <c r="Q575" t="e">
        <f t="shared" si="16"/>
        <v>#N/A</v>
      </c>
      <c r="R575" t="e">
        <f t="shared" si="17"/>
        <v>#N/A</v>
      </c>
    </row>
    <row r="576" spans="1:18" x14ac:dyDescent="0.35">
      <c r="A576" s="11"/>
      <c r="B576" s="11"/>
      <c r="C576" s="11"/>
      <c r="D576" s="11"/>
      <c r="E576" s="11"/>
      <c r="F576" s="11"/>
      <c r="G576" s="11"/>
      <c r="I576" t="s">
        <v>2241</v>
      </c>
      <c r="K576" t="s">
        <v>238</v>
      </c>
      <c r="L576" t="s">
        <v>235</v>
      </c>
      <c r="M576" t="s">
        <v>236</v>
      </c>
      <c r="P576" t="s">
        <v>2278</v>
      </c>
      <c r="Q576" t="e">
        <f t="shared" si="16"/>
        <v>#N/A</v>
      </c>
      <c r="R576" t="e">
        <f t="shared" si="17"/>
        <v>#N/A</v>
      </c>
    </row>
    <row r="577" spans="1:18" x14ac:dyDescent="0.35">
      <c r="A577" s="11"/>
      <c r="B577" s="11"/>
      <c r="C577" s="11"/>
      <c r="D577" s="11"/>
      <c r="E577" s="11"/>
      <c r="F577" s="11"/>
      <c r="G577" s="11"/>
      <c r="I577" t="s">
        <v>2148</v>
      </c>
      <c r="K577" t="s">
        <v>238</v>
      </c>
      <c r="L577" t="s">
        <v>235</v>
      </c>
      <c r="M577" t="s">
        <v>236</v>
      </c>
      <c r="P577" t="s">
        <v>2278</v>
      </c>
      <c r="Q577" t="e">
        <f t="shared" si="16"/>
        <v>#N/A</v>
      </c>
      <c r="R577" t="e">
        <f t="shared" si="17"/>
        <v>#N/A</v>
      </c>
    </row>
    <row r="578" spans="1:18" x14ac:dyDescent="0.35">
      <c r="A578" s="11"/>
      <c r="B578" s="11"/>
      <c r="C578" s="11"/>
      <c r="D578" s="11"/>
      <c r="E578" s="11"/>
      <c r="F578" s="11"/>
      <c r="G578" s="11"/>
      <c r="I578" t="s">
        <v>2149</v>
      </c>
      <c r="K578" t="s">
        <v>238</v>
      </c>
      <c r="L578" t="s">
        <v>235</v>
      </c>
      <c r="M578" t="s">
        <v>236</v>
      </c>
      <c r="P578" t="s">
        <v>2278</v>
      </c>
      <c r="Q578" t="e">
        <f t="shared" si="16"/>
        <v>#N/A</v>
      </c>
      <c r="R578" t="e">
        <f t="shared" si="17"/>
        <v>#N/A</v>
      </c>
    </row>
    <row r="579" spans="1:18" x14ac:dyDescent="0.35">
      <c r="A579" s="11" t="s">
        <v>82</v>
      </c>
      <c r="B579" s="11" t="s">
        <v>1419</v>
      </c>
      <c r="C579" s="11" t="s">
        <v>1420</v>
      </c>
      <c r="D579" s="11" t="s">
        <v>235</v>
      </c>
      <c r="E579" s="11" t="s">
        <v>236</v>
      </c>
      <c r="F579" s="11" t="s">
        <v>237</v>
      </c>
      <c r="G579" s="11" t="s">
        <v>238</v>
      </c>
      <c r="I579" t="s">
        <v>1420</v>
      </c>
      <c r="K579" t="s">
        <v>50</v>
      </c>
      <c r="L579" t="s">
        <v>228</v>
      </c>
      <c r="M579" t="s">
        <v>229</v>
      </c>
      <c r="N579" t="s">
        <v>2410</v>
      </c>
      <c r="O579" t="s">
        <v>2410</v>
      </c>
      <c r="Q579" t="e">
        <f t="shared" ref="Q579:Q642" si="18">MATCH(G579,K579,0)</f>
        <v>#N/A</v>
      </c>
      <c r="R579" t="e">
        <f t="shared" ref="R579:R642" si="19">MATCH(E579,M579,0)</f>
        <v>#N/A</v>
      </c>
    </row>
    <row r="580" spans="1:18" x14ac:dyDescent="0.35">
      <c r="A580" s="11" t="s">
        <v>82</v>
      </c>
      <c r="B580" s="11" t="s">
        <v>1421</v>
      </c>
      <c r="C580" s="11" t="s">
        <v>1422</v>
      </c>
      <c r="D580" s="11" t="s">
        <v>235</v>
      </c>
      <c r="E580" s="11" t="s">
        <v>236</v>
      </c>
      <c r="F580" s="11" t="s">
        <v>240</v>
      </c>
      <c r="G580" s="11" t="s">
        <v>69</v>
      </c>
      <c r="I580" t="s">
        <v>1422</v>
      </c>
      <c r="K580" t="s">
        <v>70</v>
      </c>
      <c r="L580" t="s">
        <v>235</v>
      </c>
      <c r="M580" t="s">
        <v>236</v>
      </c>
      <c r="N580" t="s">
        <v>2459</v>
      </c>
      <c r="O580" t="s">
        <v>2459</v>
      </c>
      <c r="P580" t="s">
        <v>2249</v>
      </c>
      <c r="Q580" t="e">
        <f t="shared" si="18"/>
        <v>#N/A</v>
      </c>
      <c r="R580">
        <f t="shared" si="19"/>
        <v>1</v>
      </c>
    </row>
    <row r="581" spans="1:18" x14ac:dyDescent="0.35">
      <c r="A581" s="11" t="s">
        <v>82</v>
      </c>
      <c r="B581" s="11" t="s">
        <v>1423</v>
      </c>
      <c r="C581" s="11" t="s">
        <v>1424</v>
      </c>
      <c r="D581" s="11" t="s">
        <v>235</v>
      </c>
      <c r="E581" s="11" t="s">
        <v>236</v>
      </c>
      <c r="F581" s="11" t="s">
        <v>240</v>
      </c>
      <c r="G581" s="11" t="s">
        <v>69</v>
      </c>
      <c r="I581" t="s">
        <v>1424</v>
      </c>
      <c r="K581" t="s">
        <v>70</v>
      </c>
      <c r="L581" t="s">
        <v>235</v>
      </c>
      <c r="M581" t="s">
        <v>236</v>
      </c>
      <c r="N581" t="s">
        <v>2459</v>
      </c>
      <c r="O581" t="s">
        <v>2459</v>
      </c>
      <c r="P581" t="s">
        <v>2249</v>
      </c>
      <c r="Q581" t="e">
        <f t="shared" si="18"/>
        <v>#N/A</v>
      </c>
      <c r="R581">
        <f t="shared" si="19"/>
        <v>1</v>
      </c>
    </row>
    <row r="582" spans="1:18" x14ac:dyDescent="0.35">
      <c r="A582" s="11" t="s">
        <v>82</v>
      </c>
      <c r="B582" s="11" t="s">
        <v>1425</v>
      </c>
      <c r="C582" s="11" t="s">
        <v>70</v>
      </c>
      <c r="D582" s="11" t="s">
        <v>235</v>
      </c>
      <c r="E582" s="11" t="s">
        <v>236</v>
      </c>
      <c r="F582" s="11" t="s">
        <v>240</v>
      </c>
      <c r="G582" s="11" t="s">
        <v>69</v>
      </c>
      <c r="I582" t="s">
        <v>70</v>
      </c>
      <c r="K582" t="s">
        <v>70</v>
      </c>
      <c r="L582" t="s">
        <v>235</v>
      </c>
      <c r="M582" t="s">
        <v>236</v>
      </c>
      <c r="N582" t="s">
        <v>2459</v>
      </c>
      <c r="O582" t="s">
        <v>2459</v>
      </c>
      <c r="P582" t="s">
        <v>2249</v>
      </c>
      <c r="Q582" t="e">
        <f t="shared" si="18"/>
        <v>#N/A</v>
      </c>
      <c r="R582">
        <f t="shared" si="19"/>
        <v>1</v>
      </c>
    </row>
    <row r="583" spans="1:18" x14ac:dyDescent="0.35">
      <c r="A583" s="11" t="s">
        <v>82</v>
      </c>
      <c r="B583" s="11" t="s">
        <v>1426</v>
      </c>
      <c r="C583" s="11" t="s">
        <v>1427</v>
      </c>
      <c r="D583" s="11" t="s">
        <v>235</v>
      </c>
      <c r="E583" s="11" t="s">
        <v>236</v>
      </c>
      <c r="F583" s="11" t="s">
        <v>240</v>
      </c>
      <c r="G583" s="11" t="s">
        <v>69</v>
      </c>
      <c r="I583" t="s">
        <v>1427</v>
      </c>
      <c r="K583" t="s">
        <v>70</v>
      </c>
      <c r="L583" t="s">
        <v>235</v>
      </c>
      <c r="M583" t="s">
        <v>236</v>
      </c>
      <c r="N583" t="s">
        <v>2459</v>
      </c>
      <c r="O583" t="s">
        <v>2459</v>
      </c>
      <c r="P583" t="s">
        <v>2249</v>
      </c>
      <c r="Q583" t="e">
        <f t="shared" si="18"/>
        <v>#N/A</v>
      </c>
      <c r="R583">
        <f t="shared" si="19"/>
        <v>1</v>
      </c>
    </row>
    <row r="584" spans="1:18" x14ac:dyDescent="0.35">
      <c r="A584" s="11" t="s">
        <v>82</v>
      </c>
      <c r="B584" s="11" t="s">
        <v>1428</v>
      </c>
      <c r="C584" s="11" t="s">
        <v>69</v>
      </c>
      <c r="D584" s="11" t="s">
        <v>235</v>
      </c>
      <c r="E584" s="11" t="s">
        <v>236</v>
      </c>
      <c r="F584" s="11" t="s">
        <v>240</v>
      </c>
      <c r="G584" s="11" t="s">
        <v>69</v>
      </c>
      <c r="I584" t="s">
        <v>69</v>
      </c>
      <c r="K584" t="s">
        <v>70</v>
      </c>
      <c r="L584" t="s">
        <v>235</v>
      </c>
      <c r="M584" t="s">
        <v>236</v>
      </c>
      <c r="N584" t="s">
        <v>2459</v>
      </c>
      <c r="O584" t="s">
        <v>2459</v>
      </c>
      <c r="P584" t="s">
        <v>2249</v>
      </c>
      <c r="Q584" t="e">
        <f t="shared" si="18"/>
        <v>#N/A</v>
      </c>
      <c r="R584">
        <f t="shared" si="19"/>
        <v>1</v>
      </c>
    </row>
    <row r="585" spans="1:18" x14ac:dyDescent="0.35">
      <c r="A585" s="11" t="s">
        <v>82</v>
      </c>
      <c r="B585" s="11" t="s">
        <v>1429</v>
      </c>
      <c r="C585" s="11" t="s">
        <v>1430</v>
      </c>
      <c r="D585" s="11" t="s">
        <v>235</v>
      </c>
      <c r="E585" s="11" t="s">
        <v>236</v>
      </c>
      <c r="F585" s="11" t="s">
        <v>240</v>
      </c>
      <c r="G585" s="11" t="s">
        <v>69</v>
      </c>
      <c r="I585" t="s">
        <v>1430</v>
      </c>
      <c r="K585" t="s">
        <v>70</v>
      </c>
      <c r="L585" t="s">
        <v>235</v>
      </c>
      <c r="M585" t="s">
        <v>236</v>
      </c>
      <c r="N585" t="s">
        <v>2459</v>
      </c>
      <c r="O585" t="s">
        <v>2459</v>
      </c>
      <c r="P585" t="s">
        <v>2249</v>
      </c>
      <c r="Q585" t="e">
        <f t="shared" si="18"/>
        <v>#N/A</v>
      </c>
      <c r="R585">
        <f t="shared" si="19"/>
        <v>1</v>
      </c>
    </row>
    <row r="586" spans="1:18" x14ac:dyDescent="0.35">
      <c r="A586" s="11" t="s">
        <v>82</v>
      </c>
      <c r="B586" s="11" t="s">
        <v>1431</v>
      </c>
      <c r="C586" s="11" t="s">
        <v>1432</v>
      </c>
      <c r="D586" s="11" t="s">
        <v>235</v>
      </c>
      <c r="E586" s="11" t="s">
        <v>236</v>
      </c>
      <c r="F586" s="11" t="s">
        <v>240</v>
      </c>
      <c r="G586" s="11" t="s">
        <v>69</v>
      </c>
      <c r="I586" t="s">
        <v>1432</v>
      </c>
      <c r="K586" t="s">
        <v>70</v>
      </c>
      <c r="L586" t="s">
        <v>235</v>
      </c>
      <c r="M586" t="s">
        <v>236</v>
      </c>
      <c r="N586" t="s">
        <v>2459</v>
      </c>
      <c r="O586" t="s">
        <v>2459</v>
      </c>
      <c r="P586" t="s">
        <v>2249</v>
      </c>
      <c r="Q586" t="e">
        <f t="shared" si="18"/>
        <v>#N/A</v>
      </c>
      <c r="R586">
        <f t="shared" si="19"/>
        <v>1</v>
      </c>
    </row>
    <row r="587" spans="1:18" x14ac:dyDescent="0.35">
      <c r="A587" s="11" t="s">
        <v>82</v>
      </c>
      <c r="B587" s="11" t="s">
        <v>1433</v>
      </c>
      <c r="C587" s="11" t="s">
        <v>1434</v>
      </c>
      <c r="D587" s="11" t="s">
        <v>235</v>
      </c>
      <c r="E587" s="11" t="s">
        <v>236</v>
      </c>
      <c r="F587" s="11" t="s">
        <v>240</v>
      </c>
      <c r="G587" s="11" t="s">
        <v>69</v>
      </c>
      <c r="I587" t="s">
        <v>1434</v>
      </c>
      <c r="K587" t="s">
        <v>70</v>
      </c>
      <c r="L587" t="s">
        <v>235</v>
      </c>
      <c r="M587" t="s">
        <v>236</v>
      </c>
      <c r="N587" t="s">
        <v>2459</v>
      </c>
      <c r="O587" t="s">
        <v>2459</v>
      </c>
      <c r="P587" t="s">
        <v>2249</v>
      </c>
      <c r="Q587" t="e">
        <f t="shared" si="18"/>
        <v>#N/A</v>
      </c>
      <c r="R587">
        <f t="shared" si="19"/>
        <v>1</v>
      </c>
    </row>
    <row r="588" spans="1:18" x14ac:dyDescent="0.35">
      <c r="A588" s="11" t="s">
        <v>82</v>
      </c>
      <c r="B588" s="11" t="s">
        <v>1435</v>
      </c>
      <c r="C588" s="11" t="s">
        <v>1436</v>
      </c>
      <c r="D588" s="11" t="s">
        <v>235</v>
      </c>
      <c r="E588" s="11" t="s">
        <v>236</v>
      </c>
      <c r="F588" s="11" t="s">
        <v>240</v>
      </c>
      <c r="G588" s="11" t="s">
        <v>69</v>
      </c>
      <c r="I588" t="s">
        <v>1436</v>
      </c>
      <c r="K588" t="s">
        <v>54</v>
      </c>
      <c r="L588" t="s">
        <v>284</v>
      </c>
      <c r="M588" t="s">
        <v>285</v>
      </c>
      <c r="N588" t="s">
        <v>2410</v>
      </c>
      <c r="O588" t="s">
        <v>2410</v>
      </c>
      <c r="Q588" t="e">
        <f t="shared" si="18"/>
        <v>#N/A</v>
      </c>
      <c r="R588" t="e">
        <f t="shared" si="19"/>
        <v>#N/A</v>
      </c>
    </row>
    <row r="589" spans="1:18" x14ac:dyDescent="0.35">
      <c r="A589" s="11" t="s">
        <v>82</v>
      </c>
      <c r="B589" s="11" t="s">
        <v>1437</v>
      </c>
      <c r="C589" s="11" t="s">
        <v>236</v>
      </c>
      <c r="D589" s="11" t="s">
        <v>235</v>
      </c>
      <c r="E589" s="11" t="s">
        <v>236</v>
      </c>
      <c r="F589" s="11" t="s">
        <v>240</v>
      </c>
      <c r="G589" s="11" t="s">
        <v>69</v>
      </c>
      <c r="I589" t="s">
        <v>236</v>
      </c>
      <c r="K589" t="s">
        <v>54</v>
      </c>
      <c r="L589" t="s">
        <v>284</v>
      </c>
      <c r="M589" t="s">
        <v>285</v>
      </c>
      <c r="N589" t="s">
        <v>2410</v>
      </c>
      <c r="O589" t="s">
        <v>2410</v>
      </c>
      <c r="Q589" t="e">
        <f t="shared" si="18"/>
        <v>#N/A</v>
      </c>
      <c r="R589" t="e">
        <f t="shared" si="19"/>
        <v>#N/A</v>
      </c>
    </row>
    <row r="590" spans="1:18" x14ac:dyDescent="0.35">
      <c r="A590" s="11" t="s">
        <v>82</v>
      </c>
      <c r="B590" s="11" t="s">
        <v>1438</v>
      </c>
      <c r="C590" s="11" t="s">
        <v>1439</v>
      </c>
      <c r="D590" s="11" t="s">
        <v>242</v>
      </c>
      <c r="E590" s="11" t="s">
        <v>243</v>
      </c>
      <c r="F590" s="11" t="s">
        <v>244</v>
      </c>
      <c r="G590" s="11" t="s">
        <v>245</v>
      </c>
      <c r="I590" t="s">
        <v>1439</v>
      </c>
      <c r="J590" s="13"/>
      <c r="K590" t="s">
        <v>245</v>
      </c>
      <c r="L590" t="s">
        <v>242</v>
      </c>
      <c r="M590" t="s">
        <v>243</v>
      </c>
      <c r="N590" t="s">
        <v>2459</v>
      </c>
      <c r="O590" t="s">
        <v>2459</v>
      </c>
      <c r="Q590">
        <f t="shared" si="18"/>
        <v>1</v>
      </c>
      <c r="R590">
        <f t="shared" si="19"/>
        <v>1</v>
      </c>
    </row>
    <row r="591" spans="1:18" x14ac:dyDescent="0.35">
      <c r="A591" s="11" t="s">
        <v>82</v>
      </c>
      <c r="B591" s="11" t="s">
        <v>1440</v>
      </c>
      <c r="C591" s="11" t="s">
        <v>1441</v>
      </c>
      <c r="D591" s="11" t="s">
        <v>242</v>
      </c>
      <c r="E591" s="11" t="s">
        <v>243</v>
      </c>
      <c r="F591" s="11" t="s">
        <v>244</v>
      </c>
      <c r="G591" s="11" t="s">
        <v>245</v>
      </c>
      <c r="I591" t="s">
        <v>1441</v>
      </c>
      <c r="J591" s="13"/>
      <c r="K591" t="s">
        <v>245</v>
      </c>
      <c r="L591" t="s">
        <v>242</v>
      </c>
      <c r="M591" t="s">
        <v>243</v>
      </c>
      <c r="N591" t="s">
        <v>2459</v>
      </c>
      <c r="O591" t="s">
        <v>2459</v>
      </c>
      <c r="Q591">
        <f t="shared" si="18"/>
        <v>1</v>
      </c>
      <c r="R591">
        <f t="shared" si="19"/>
        <v>1</v>
      </c>
    </row>
    <row r="592" spans="1:18" x14ac:dyDescent="0.35">
      <c r="A592" s="11" t="s">
        <v>82</v>
      </c>
      <c r="B592" s="11" t="s">
        <v>1442</v>
      </c>
      <c r="C592" s="11" t="s">
        <v>245</v>
      </c>
      <c r="D592" s="11" t="s">
        <v>242</v>
      </c>
      <c r="E592" s="11" t="s">
        <v>243</v>
      </c>
      <c r="F592" s="11" t="s">
        <v>244</v>
      </c>
      <c r="G592" s="11" t="s">
        <v>245</v>
      </c>
      <c r="I592" t="s">
        <v>245</v>
      </c>
      <c r="J592" s="13"/>
      <c r="K592" t="s">
        <v>245</v>
      </c>
      <c r="L592" t="s">
        <v>242</v>
      </c>
      <c r="M592" t="s">
        <v>243</v>
      </c>
      <c r="N592" t="s">
        <v>2459</v>
      </c>
      <c r="O592" t="s">
        <v>2459</v>
      </c>
      <c r="Q592">
        <f t="shared" si="18"/>
        <v>1</v>
      </c>
      <c r="R592">
        <f t="shared" si="19"/>
        <v>1</v>
      </c>
    </row>
    <row r="593" spans="1:18" x14ac:dyDescent="0.35">
      <c r="A593" s="11" t="s">
        <v>82</v>
      </c>
      <c r="B593" s="11" t="s">
        <v>1443</v>
      </c>
      <c r="C593" s="11" t="s">
        <v>243</v>
      </c>
      <c r="D593" s="11" t="s">
        <v>242</v>
      </c>
      <c r="E593" s="11" t="s">
        <v>243</v>
      </c>
      <c r="F593" s="11" t="s">
        <v>244</v>
      </c>
      <c r="G593" s="11" t="s">
        <v>245</v>
      </c>
      <c r="I593" t="s">
        <v>243</v>
      </c>
      <c r="J593" s="13"/>
      <c r="K593" t="s">
        <v>245</v>
      </c>
      <c r="L593" t="s">
        <v>242</v>
      </c>
      <c r="M593" t="s">
        <v>243</v>
      </c>
      <c r="N593" t="s">
        <v>2459</v>
      </c>
      <c r="O593" t="s">
        <v>2459</v>
      </c>
      <c r="Q593">
        <f t="shared" si="18"/>
        <v>1</v>
      </c>
      <c r="R593">
        <f t="shared" si="19"/>
        <v>1</v>
      </c>
    </row>
    <row r="594" spans="1:18" x14ac:dyDescent="0.35">
      <c r="A594" s="11" t="s">
        <v>82</v>
      </c>
      <c r="B594" s="11" t="s">
        <v>1444</v>
      </c>
      <c r="C594" s="11" t="s">
        <v>1445</v>
      </c>
      <c r="D594" s="11" t="s">
        <v>242</v>
      </c>
      <c r="E594" s="11" t="s">
        <v>243</v>
      </c>
      <c r="F594" s="11" t="s">
        <v>244</v>
      </c>
      <c r="G594" s="11" t="s">
        <v>245</v>
      </c>
      <c r="I594" t="s">
        <v>1445</v>
      </c>
      <c r="J594" s="13"/>
      <c r="K594" t="s">
        <v>245</v>
      </c>
      <c r="L594" t="s">
        <v>242</v>
      </c>
      <c r="M594" t="s">
        <v>243</v>
      </c>
      <c r="N594" t="s">
        <v>2459</v>
      </c>
      <c r="O594" t="s">
        <v>2459</v>
      </c>
      <c r="Q594">
        <f t="shared" si="18"/>
        <v>1</v>
      </c>
      <c r="R594">
        <f t="shared" si="19"/>
        <v>1</v>
      </c>
    </row>
    <row r="595" spans="1:18" x14ac:dyDescent="0.35">
      <c r="A595" s="11" t="s">
        <v>82</v>
      </c>
      <c r="B595" s="11" t="s">
        <v>1446</v>
      </c>
      <c r="C595" s="11" t="s">
        <v>1447</v>
      </c>
      <c r="D595" s="11" t="s">
        <v>242</v>
      </c>
      <c r="E595" s="11" t="s">
        <v>243</v>
      </c>
      <c r="F595" s="11" t="s">
        <v>244</v>
      </c>
      <c r="G595" s="11" t="s">
        <v>245</v>
      </c>
      <c r="I595" t="s">
        <v>1447</v>
      </c>
      <c r="J595" s="13"/>
      <c r="K595" t="s">
        <v>245</v>
      </c>
      <c r="L595" t="s">
        <v>242</v>
      </c>
      <c r="M595" t="s">
        <v>243</v>
      </c>
      <c r="N595" t="s">
        <v>2459</v>
      </c>
      <c r="O595" t="s">
        <v>2459</v>
      </c>
      <c r="Q595">
        <f t="shared" si="18"/>
        <v>1</v>
      </c>
      <c r="R595">
        <f t="shared" si="19"/>
        <v>1</v>
      </c>
    </row>
    <row r="596" spans="1:18" x14ac:dyDescent="0.35">
      <c r="A596" s="11" t="s">
        <v>82</v>
      </c>
      <c r="B596" s="11" t="s">
        <v>1448</v>
      </c>
      <c r="C596" s="11" t="s">
        <v>1449</v>
      </c>
      <c r="D596" s="11" t="s">
        <v>242</v>
      </c>
      <c r="E596" s="11" t="s">
        <v>243</v>
      </c>
      <c r="F596" s="11" t="s">
        <v>244</v>
      </c>
      <c r="G596" s="11" t="s">
        <v>245</v>
      </c>
      <c r="I596" t="s">
        <v>1449</v>
      </c>
      <c r="J596" s="13"/>
      <c r="K596" t="s">
        <v>245</v>
      </c>
      <c r="L596" t="s">
        <v>242</v>
      </c>
      <c r="M596" t="s">
        <v>243</v>
      </c>
      <c r="N596" t="s">
        <v>2459</v>
      </c>
      <c r="O596" t="s">
        <v>2459</v>
      </c>
      <c r="Q596">
        <f t="shared" si="18"/>
        <v>1</v>
      </c>
      <c r="R596">
        <f t="shared" si="19"/>
        <v>1</v>
      </c>
    </row>
    <row r="597" spans="1:18" x14ac:dyDescent="0.35">
      <c r="A597" s="11" t="s">
        <v>82</v>
      </c>
      <c r="B597" s="11" t="s">
        <v>1450</v>
      </c>
      <c r="C597" s="11" t="s">
        <v>1451</v>
      </c>
      <c r="D597" s="11" t="s">
        <v>242</v>
      </c>
      <c r="E597" s="11" t="s">
        <v>243</v>
      </c>
      <c r="F597" s="11" t="s">
        <v>244</v>
      </c>
      <c r="G597" s="11" t="s">
        <v>245</v>
      </c>
      <c r="I597" t="s">
        <v>1451</v>
      </c>
      <c r="J597" s="13"/>
      <c r="K597" t="s">
        <v>245</v>
      </c>
      <c r="L597" t="s">
        <v>242</v>
      </c>
      <c r="M597" t="s">
        <v>243</v>
      </c>
      <c r="N597" t="s">
        <v>2459</v>
      </c>
      <c r="O597" t="s">
        <v>2459</v>
      </c>
      <c r="Q597">
        <f t="shared" si="18"/>
        <v>1</v>
      </c>
      <c r="R597">
        <f t="shared" si="19"/>
        <v>1</v>
      </c>
    </row>
    <row r="598" spans="1:18" x14ac:dyDescent="0.35">
      <c r="A598" s="11" t="s">
        <v>82</v>
      </c>
      <c r="B598" s="11" t="s">
        <v>1452</v>
      </c>
      <c r="C598" s="11" t="s">
        <v>1453</v>
      </c>
      <c r="D598" s="11" t="s">
        <v>242</v>
      </c>
      <c r="E598" s="11" t="s">
        <v>243</v>
      </c>
      <c r="F598" s="11" t="s">
        <v>247</v>
      </c>
      <c r="G598" s="11" t="s">
        <v>248</v>
      </c>
      <c r="I598" t="s">
        <v>1453</v>
      </c>
      <c r="J598" s="13"/>
      <c r="K598" t="s">
        <v>248</v>
      </c>
      <c r="L598" t="s">
        <v>242</v>
      </c>
      <c r="M598" t="s">
        <v>243</v>
      </c>
      <c r="N598" t="s">
        <v>2459</v>
      </c>
      <c r="O598" t="s">
        <v>2459</v>
      </c>
      <c r="Q598">
        <f t="shared" si="18"/>
        <v>1</v>
      </c>
      <c r="R598">
        <f t="shared" si="19"/>
        <v>1</v>
      </c>
    </row>
    <row r="599" spans="1:18" x14ac:dyDescent="0.35">
      <c r="A599" s="11" t="s">
        <v>82</v>
      </c>
      <c r="B599" s="11" t="s">
        <v>1454</v>
      </c>
      <c r="C599" s="11" t="s">
        <v>1455</v>
      </c>
      <c r="D599" s="11" t="s">
        <v>242</v>
      </c>
      <c r="E599" s="11" t="s">
        <v>243</v>
      </c>
      <c r="F599" s="11" t="s">
        <v>247</v>
      </c>
      <c r="G599" s="11" t="s">
        <v>248</v>
      </c>
      <c r="I599" t="s">
        <v>1455</v>
      </c>
      <c r="J599" s="13"/>
      <c r="K599" t="s">
        <v>248</v>
      </c>
      <c r="L599" t="s">
        <v>242</v>
      </c>
      <c r="M599" t="s">
        <v>243</v>
      </c>
      <c r="N599" t="s">
        <v>2459</v>
      </c>
      <c r="O599" t="s">
        <v>2459</v>
      </c>
      <c r="Q599">
        <f t="shared" si="18"/>
        <v>1</v>
      </c>
      <c r="R599">
        <f t="shared" si="19"/>
        <v>1</v>
      </c>
    </row>
    <row r="600" spans="1:18" x14ac:dyDescent="0.35">
      <c r="A600" s="11" t="s">
        <v>82</v>
      </c>
      <c r="B600" s="11" t="s">
        <v>1456</v>
      </c>
      <c r="C600" s="11" t="s">
        <v>1457</v>
      </c>
      <c r="D600" s="11" t="s">
        <v>242</v>
      </c>
      <c r="E600" s="11" t="s">
        <v>243</v>
      </c>
      <c r="F600" s="11" t="s">
        <v>247</v>
      </c>
      <c r="G600" s="11" t="s">
        <v>248</v>
      </c>
      <c r="I600" t="s">
        <v>1457</v>
      </c>
      <c r="J600" s="13"/>
      <c r="K600" t="s">
        <v>248</v>
      </c>
      <c r="L600" t="s">
        <v>242</v>
      </c>
      <c r="M600" t="s">
        <v>243</v>
      </c>
      <c r="N600" t="s">
        <v>2459</v>
      </c>
      <c r="O600" t="s">
        <v>2459</v>
      </c>
      <c r="Q600">
        <f t="shared" si="18"/>
        <v>1</v>
      </c>
      <c r="R600">
        <f t="shared" si="19"/>
        <v>1</v>
      </c>
    </row>
    <row r="601" spans="1:18" x14ac:dyDescent="0.35">
      <c r="A601" s="11" t="s">
        <v>82</v>
      </c>
      <c r="B601" s="11" t="s">
        <v>1458</v>
      </c>
      <c r="C601" s="11" t="s">
        <v>1459</v>
      </c>
      <c r="D601" s="11" t="s">
        <v>242</v>
      </c>
      <c r="E601" s="11" t="s">
        <v>243</v>
      </c>
      <c r="F601" s="11" t="s">
        <v>247</v>
      </c>
      <c r="G601" s="11" t="s">
        <v>248</v>
      </c>
      <c r="I601" t="s">
        <v>1459</v>
      </c>
      <c r="J601" s="13"/>
      <c r="K601" t="s">
        <v>248</v>
      </c>
      <c r="L601" t="s">
        <v>242</v>
      </c>
      <c r="M601" t="s">
        <v>243</v>
      </c>
      <c r="N601" t="s">
        <v>2459</v>
      </c>
      <c r="O601" t="s">
        <v>2459</v>
      </c>
      <c r="Q601">
        <f t="shared" si="18"/>
        <v>1</v>
      </c>
      <c r="R601">
        <f t="shared" si="19"/>
        <v>1</v>
      </c>
    </row>
    <row r="602" spans="1:18" x14ac:dyDescent="0.35">
      <c r="A602" s="11" t="s">
        <v>82</v>
      </c>
      <c r="B602" s="11" t="s">
        <v>1460</v>
      </c>
      <c r="C602" s="11" t="s">
        <v>1461</v>
      </c>
      <c r="D602" s="11" t="s">
        <v>242</v>
      </c>
      <c r="E602" s="11" t="s">
        <v>243</v>
      </c>
      <c r="F602" s="11" t="s">
        <v>247</v>
      </c>
      <c r="G602" s="11" t="s">
        <v>248</v>
      </c>
      <c r="I602" t="s">
        <v>1461</v>
      </c>
      <c r="J602" s="13"/>
      <c r="K602" t="s">
        <v>248</v>
      </c>
      <c r="L602" t="s">
        <v>242</v>
      </c>
      <c r="M602" t="s">
        <v>243</v>
      </c>
      <c r="N602" t="s">
        <v>2459</v>
      </c>
      <c r="O602" t="s">
        <v>2459</v>
      </c>
      <c r="Q602">
        <f t="shared" si="18"/>
        <v>1</v>
      </c>
      <c r="R602">
        <f t="shared" si="19"/>
        <v>1</v>
      </c>
    </row>
    <row r="603" spans="1:18" x14ac:dyDescent="0.35">
      <c r="A603" s="11" t="s">
        <v>82</v>
      </c>
      <c r="B603" s="11" t="s">
        <v>1462</v>
      </c>
      <c r="C603" s="11" t="s">
        <v>248</v>
      </c>
      <c r="D603" s="11" t="s">
        <v>242</v>
      </c>
      <c r="E603" s="11" t="s">
        <v>243</v>
      </c>
      <c r="F603" s="11" t="s">
        <v>247</v>
      </c>
      <c r="G603" s="11" t="s">
        <v>248</v>
      </c>
      <c r="I603" t="s">
        <v>248</v>
      </c>
      <c r="J603" s="13"/>
      <c r="K603" t="s">
        <v>248</v>
      </c>
      <c r="L603" t="s">
        <v>242</v>
      </c>
      <c r="M603" t="s">
        <v>243</v>
      </c>
      <c r="N603" t="s">
        <v>2459</v>
      </c>
      <c r="O603" t="s">
        <v>2459</v>
      </c>
      <c r="Q603">
        <f t="shared" si="18"/>
        <v>1</v>
      </c>
      <c r="R603">
        <f t="shared" si="19"/>
        <v>1</v>
      </c>
    </row>
    <row r="604" spans="1:18" x14ac:dyDescent="0.35">
      <c r="A604" s="11" t="s">
        <v>82</v>
      </c>
      <c r="B604" s="11" t="s">
        <v>1463</v>
      </c>
      <c r="C604" s="11" t="s">
        <v>1464</v>
      </c>
      <c r="D604" s="11" t="s">
        <v>242</v>
      </c>
      <c r="E604" s="11" t="s">
        <v>243</v>
      </c>
      <c r="F604" s="11" t="s">
        <v>247</v>
      </c>
      <c r="G604" s="11" t="s">
        <v>248</v>
      </c>
      <c r="I604" t="s">
        <v>1464</v>
      </c>
      <c r="J604" s="13"/>
      <c r="K604" t="s">
        <v>248</v>
      </c>
      <c r="L604" t="s">
        <v>242</v>
      </c>
      <c r="M604" t="s">
        <v>243</v>
      </c>
      <c r="N604" t="s">
        <v>2459</v>
      </c>
      <c r="O604" t="s">
        <v>2459</v>
      </c>
      <c r="Q604">
        <f t="shared" si="18"/>
        <v>1</v>
      </c>
      <c r="R604">
        <f t="shared" si="19"/>
        <v>1</v>
      </c>
    </row>
    <row r="605" spans="1:18" x14ac:dyDescent="0.35">
      <c r="A605" s="11" t="s">
        <v>82</v>
      </c>
      <c r="B605" s="11" t="s">
        <v>1465</v>
      </c>
      <c r="C605" s="11" t="s">
        <v>1466</v>
      </c>
      <c r="D605" s="11" t="s">
        <v>242</v>
      </c>
      <c r="E605" s="11" t="s">
        <v>243</v>
      </c>
      <c r="F605" s="11" t="s">
        <v>247</v>
      </c>
      <c r="G605" s="11" t="s">
        <v>248</v>
      </c>
      <c r="I605" t="s">
        <v>1466</v>
      </c>
      <c r="J605" s="13"/>
      <c r="K605" t="s">
        <v>248</v>
      </c>
      <c r="L605" t="s">
        <v>242</v>
      </c>
      <c r="M605" t="s">
        <v>243</v>
      </c>
      <c r="N605" t="s">
        <v>2459</v>
      </c>
      <c r="O605" t="s">
        <v>2459</v>
      </c>
      <c r="Q605">
        <f t="shared" si="18"/>
        <v>1</v>
      </c>
      <c r="R605">
        <f t="shared" si="19"/>
        <v>1</v>
      </c>
    </row>
    <row r="606" spans="1:18" x14ac:dyDescent="0.35">
      <c r="A606" s="11" t="s">
        <v>82</v>
      </c>
      <c r="B606" s="11" t="s">
        <v>1467</v>
      </c>
      <c r="C606" s="11" t="s">
        <v>1468</v>
      </c>
      <c r="D606" s="11" t="s">
        <v>242</v>
      </c>
      <c r="E606" s="11" t="s">
        <v>243</v>
      </c>
      <c r="F606" s="11" t="s">
        <v>247</v>
      </c>
      <c r="G606" s="11" t="s">
        <v>248</v>
      </c>
      <c r="I606" t="s">
        <v>1468</v>
      </c>
      <c r="J606" s="13"/>
      <c r="K606" t="s">
        <v>248</v>
      </c>
      <c r="L606" t="s">
        <v>242</v>
      </c>
      <c r="M606" t="s">
        <v>243</v>
      </c>
      <c r="N606" t="s">
        <v>2459</v>
      </c>
      <c r="O606" t="s">
        <v>2459</v>
      </c>
      <c r="Q606">
        <f t="shared" si="18"/>
        <v>1</v>
      </c>
      <c r="R606">
        <f t="shared" si="19"/>
        <v>1</v>
      </c>
    </row>
    <row r="607" spans="1:18" x14ac:dyDescent="0.35">
      <c r="A607" s="11" t="s">
        <v>82</v>
      </c>
      <c r="B607" s="11" t="s">
        <v>1469</v>
      </c>
      <c r="C607" s="11" t="s">
        <v>1470</v>
      </c>
      <c r="D607" s="11" t="s">
        <v>242</v>
      </c>
      <c r="E607" s="11" t="s">
        <v>243</v>
      </c>
      <c r="F607" s="11" t="s">
        <v>247</v>
      </c>
      <c r="G607" s="11" t="s">
        <v>248</v>
      </c>
      <c r="I607" t="s">
        <v>1470</v>
      </c>
      <c r="K607" t="s">
        <v>50</v>
      </c>
      <c r="L607" t="s">
        <v>228</v>
      </c>
      <c r="M607" t="s">
        <v>229</v>
      </c>
      <c r="N607" t="s">
        <v>2410</v>
      </c>
      <c r="O607" t="s">
        <v>2410</v>
      </c>
      <c r="Q607" t="e">
        <f t="shared" si="18"/>
        <v>#N/A</v>
      </c>
      <c r="R607" t="e">
        <f t="shared" si="19"/>
        <v>#N/A</v>
      </c>
    </row>
    <row r="608" spans="1:18" x14ac:dyDescent="0.35">
      <c r="A608" s="11"/>
      <c r="B608" s="11"/>
      <c r="C608" s="11"/>
      <c r="D608" s="11"/>
      <c r="E608" s="11"/>
      <c r="F608" s="11"/>
      <c r="G608" s="11"/>
      <c r="I608" t="s">
        <v>2150</v>
      </c>
      <c r="J608" s="13"/>
      <c r="K608" t="s">
        <v>248</v>
      </c>
      <c r="L608" t="s">
        <v>242</v>
      </c>
      <c r="M608" t="s">
        <v>243</v>
      </c>
      <c r="P608" t="s">
        <v>2279</v>
      </c>
      <c r="Q608" t="e">
        <f t="shared" si="18"/>
        <v>#N/A</v>
      </c>
      <c r="R608" t="e">
        <f t="shared" si="19"/>
        <v>#N/A</v>
      </c>
    </row>
    <row r="609" spans="1:18" x14ac:dyDescent="0.35">
      <c r="A609" s="11" t="s">
        <v>82</v>
      </c>
      <c r="B609" s="11" t="s">
        <v>1471</v>
      </c>
      <c r="C609" s="11" t="s">
        <v>1472</v>
      </c>
      <c r="D609" s="11" t="s">
        <v>242</v>
      </c>
      <c r="E609" s="11" t="s">
        <v>243</v>
      </c>
      <c r="F609" s="11" t="s">
        <v>247</v>
      </c>
      <c r="G609" s="11" t="s">
        <v>248</v>
      </c>
      <c r="I609" t="s">
        <v>1472</v>
      </c>
      <c r="J609" s="13"/>
      <c r="K609" t="s">
        <v>248</v>
      </c>
      <c r="L609" t="s">
        <v>242</v>
      </c>
      <c r="M609" t="s">
        <v>243</v>
      </c>
      <c r="N609" t="s">
        <v>2459</v>
      </c>
      <c r="O609" t="s">
        <v>2459</v>
      </c>
      <c r="Q609">
        <f t="shared" si="18"/>
        <v>1</v>
      </c>
      <c r="R609">
        <f t="shared" si="19"/>
        <v>1</v>
      </c>
    </row>
    <row r="610" spans="1:18" x14ac:dyDescent="0.35">
      <c r="A610" s="11" t="s">
        <v>82</v>
      </c>
      <c r="B610" s="11" t="s">
        <v>1473</v>
      </c>
      <c r="C610" s="11" t="s">
        <v>1474</v>
      </c>
      <c r="D610" s="11" t="s">
        <v>242</v>
      </c>
      <c r="E610" s="11" t="s">
        <v>243</v>
      </c>
      <c r="F610" s="11" t="s">
        <v>247</v>
      </c>
      <c r="G610" s="11" t="s">
        <v>248</v>
      </c>
      <c r="I610" t="s">
        <v>1474</v>
      </c>
      <c r="J610" s="13"/>
      <c r="K610" t="s">
        <v>248</v>
      </c>
      <c r="L610" t="s">
        <v>242</v>
      </c>
      <c r="M610" t="s">
        <v>243</v>
      </c>
      <c r="N610" t="s">
        <v>2459</v>
      </c>
      <c r="O610" t="s">
        <v>2459</v>
      </c>
      <c r="Q610">
        <f t="shared" si="18"/>
        <v>1</v>
      </c>
      <c r="R610">
        <f t="shared" si="19"/>
        <v>1</v>
      </c>
    </row>
    <row r="611" spans="1:18" x14ac:dyDescent="0.35">
      <c r="A611" s="11" t="s">
        <v>82</v>
      </c>
      <c r="B611" s="11" t="s">
        <v>1475</v>
      </c>
      <c r="C611" s="11" t="s">
        <v>1476</v>
      </c>
      <c r="D611" s="11" t="s">
        <v>250</v>
      </c>
      <c r="E611" s="11" t="s">
        <v>251</v>
      </c>
      <c r="F611" s="11" t="s">
        <v>252</v>
      </c>
      <c r="G611" s="11" t="s">
        <v>253</v>
      </c>
      <c r="I611" t="s">
        <v>1476</v>
      </c>
      <c r="K611" t="s">
        <v>253</v>
      </c>
      <c r="L611" t="s">
        <v>250</v>
      </c>
      <c r="M611" t="s">
        <v>251</v>
      </c>
      <c r="N611" t="s">
        <v>2459</v>
      </c>
      <c r="O611" t="s">
        <v>2459</v>
      </c>
      <c r="Q611">
        <f t="shared" si="18"/>
        <v>1</v>
      </c>
      <c r="R611">
        <f t="shared" si="19"/>
        <v>1</v>
      </c>
    </row>
    <row r="612" spans="1:18" x14ac:dyDescent="0.35">
      <c r="A612" s="11" t="s">
        <v>82</v>
      </c>
      <c r="B612" s="11" t="s">
        <v>1477</v>
      </c>
      <c r="C612" s="11" t="s">
        <v>1478</v>
      </c>
      <c r="D612" s="11" t="s">
        <v>250</v>
      </c>
      <c r="E612" s="11" t="s">
        <v>251</v>
      </c>
      <c r="F612" s="11" t="s">
        <v>252</v>
      </c>
      <c r="G612" s="11" t="s">
        <v>253</v>
      </c>
      <c r="I612" t="s">
        <v>1478</v>
      </c>
      <c r="K612" t="s">
        <v>253</v>
      </c>
      <c r="L612" t="s">
        <v>250</v>
      </c>
      <c r="M612" t="s">
        <v>251</v>
      </c>
      <c r="N612" t="s">
        <v>2459</v>
      </c>
      <c r="O612" t="s">
        <v>2459</v>
      </c>
      <c r="Q612">
        <f t="shared" si="18"/>
        <v>1</v>
      </c>
      <c r="R612">
        <f t="shared" si="19"/>
        <v>1</v>
      </c>
    </row>
    <row r="613" spans="1:18" x14ac:dyDescent="0.35">
      <c r="A613" s="11" t="s">
        <v>82</v>
      </c>
      <c r="B613" s="11" t="s">
        <v>1479</v>
      </c>
      <c r="C613" s="11" t="s">
        <v>1480</v>
      </c>
      <c r="D613" s="11" t="s">
        <v>250</v>
      </c>
      <c r="E613" s="11" t="s">
        <v>251</v>
      </c>
      <c r="F613" s="11" t="s">
        <v>252</v>
      </c>
      <c r="G613" s="11" t="s">
        <v>253</v>
      </c>
      <c r="I613" t="s">
        <v>1480</v>
      </c>
      <c r="K613" t="s">
        <v>253</v>
      </c>
      <c r="L613" t="s">
        <v>250</v>
      </c>
      <c r="M613" t="s">
        <v>251</v>
      </c>
      <c r="N613" t="s">
        <v>2459</v>
      </c>
      <c r="O613" t="s">
        <v>2459</v>
      </c>
      <c r="Q613">
        <f t="shared" si="18"/>
        <v>1</v>
      </c>
      <c r="R613">
        <f t="shared" si="19"/>
        <v>1</v>
      </c>
    </row>
    <row r="614" spans="1:18" x14ac:dyDescent="0.35">
      <c r="A614" s="11" t="s">
        <v>82</v>
      </c>
      <c r="B614" s="11" t="s">
        <v>1481</v>
      </c>
      <c r="C614" s="11" t="s">
        <v>1482</v>
      </c>
      <c r="D614" s="11" t="s">
        <v>250</v>
      </c>
      <c r="E614" s="11" t="s">
        <v>251</v>
      </c>
      <c r="F614" s="11" t="s">
        <v>252</v>
      </c>
      <c r="G614" s="11" t="s">
        <v>253</v>
      </c>
      <c r="I614" t="s">
        <v>1482</v>
      </c>
      <c r="K614" t="s">
        <v>253</v>
      </c>
      <c r="L614" t="s">
        <v>250</v>
      </c>
      <c r="M614" t="s">
        <v>251</v>
      </c>
      <c r="N614" t="s">
        <v>2459</v>
      </c>
      <c r="O614" t="s">
        <v>2459</v>
      </c>
      <c r="Q614">
        <f t="shared" si="18"/>
        <v>1</v>
      </c>
      <c r="R614">
        <f t="shared" si="19"/>
        <v>1</v>
      </c>
    </row>
    <row r="615" spans="1:18" x14ac:dyDescent="0.35">
      <c r="A615" s="11" t="s">
        <v>82</v>
      </c>
      <c r="B615" s="11" t="s">
        <v>1483</v>
      </c>
      <c r="C615" s="11" t="s">
        <v>1484</v>
      </c>
      <c r="D615" s="11" t="s">
        <v>250</v>
      </c>
      <c r="E615" s="11" t="s">
        <v>251</v>
      </c>
      <c r="F615" s="11" t="s">
        <v>252</v>
      </c>
      <c r="G615" s="11" t="s">
        <v>253</v>
      </c>
      <c r="I615" t="s">
        <v>1484</v>
      </c>
      <c r="K615" t="s">
        <v>253</v>
      </c>
      <c r="L615" t="s">
        <v>250</v>
      </c>
      <c r="M615" t="s">
        <v>251</v>
      </c>
      <c r="N615" t="s">
        <v>2459</v>
      </c>
      <c r="O615" t="s">
        <v>2459</v>
      </c>
      <c r="Q615">
        <f t="shared" si="18"/>
        <v>1</v>
      </c>
      <c r="R615">
        <f t="shared" si="19"/>
        <v>1</v>
      </c>
    </row>
    <row r="616" spans="1:18" x14ac:dyDescent="0.35">
      <c r="A616" s="11" t="s">
        <v>82</v>
      </c>
      <c r="B616" s="11" t="s">
        <v>1485</v>
      </c>
      <c r="C616" s="11" t="s">
        <v>1486</v>
      </c>
      <c r="D616" s="11" t="s">
        <v>250</v>
      </c>
      <c r="E616" s="11" t="s">
        <v>251</v>
      </c>
      <c r="F616" s="11" t="s">
        <v>252</v>
      </c>
      <c r="G616" s="11" t="s">
        <v>253</v>
      </c>
      <c r="I616" t="s">
        <v>1486</v>
      </c>
      <c r="K616" t="s">
        <v>253</v>
      </c>
      <c r="L616" t="s">
        <v>250</v>
      </c>
      <c r="M616" t="s">
        <v>251</v>
      </c>
      <c r="N616" t="s">
        <v>2459</v>
      </c>
      <c r="O616" t="s">
        <v>2459</v>
      </c>
      <c r="Q616">
        <f t="shared" si="18"/>
        <v>1</v>
      </c>
      <c r="R616">
        <f t="shared" si="19"/>
        <v>1</v>
      </c>
    </row>
    <row r="617" spans="1:18" x14ac:dyDescent="0.35">
      <c r="A617" s="11" t="s">
        <v>82</v>
      </c>
      <c r="B617" s="11" t="s">
        <v>1487</v>
      </c>
      <c r="C617" s="11" t="s">
        <v>1488</v>
      </c>
      <c r="D617" s="11" t="s">
        <v>250</v>
      </c>
      <c r="E617" s="11" t="s">
        <v>251</v>
      </c>
      <c r="F617" s="11" t="s">
        <v>255</v>
      </c>
      <c r="G617" s="11" t="s">
        <v>256</v>
      </c>
      <c r="I617" t="s">
        <v>1488</v>
      </c>
      <c r="K617" t="s">
        <v>256</v>
      </c>
      <c r="L617" t="s">
        <v>250</v>
      </c>
      <c r="M617" t="s">
        <v>251</v>
      </c>
      <c r="N617" t="s">
        <v>2459</v>
      </c>
      <c r="O617" t="s">
        <v>2459</v>
      </c>
      <c r="Q617">
        <f t="shared" si="18"/>
        <v>1</v>
      </c>
      <c r="R617">
        <f t="shared" si="19"/>
        <v>1</v>
      </c>
    </row>
    <row r="618" spans="1:18" x14ac:dyDescent="0.35">
      <c r="A618" s="11" t="s">
        <v>82</v>
      </c>
      <c r="B618" s="11" t="s">
        <v>1489</v>
      </c>
      <c r="C618" s="11" t="s">
        <v>251</v>
      </c>
      <c r="D618" s="11" t="s">
        <v>250</v>
      </c>
      <c r="E618" s="11" t="s">
        <v>251</v>
      </c>
      <c r="F618" s="11" t="s">
        <v>255</v>
      </c>
      <c r="G618" s="11" t="s">
        <v>256</v>
      </c>
      <c r="I618" t="s">
        <v>251</v>
      </c>
      <c r="K618" t="s">
        <v>256</v>
      </c>
      <c r="L618" t="s">
        <v>250</v>
      </c>
      <c r="M618" t="s">
        <v>251</v>
      </c>
      <c r="N618" t="s">
        <v>2459</v>
      </c>
      <c r="O618" t="s">
        <v>2459</v>
      </c>
      <c r="Q618">
        <f t="shared" si="18"/>
        <v>1</v>
      </c>
      <c r="R618">
        <f t="shared" si="19"/>
        <v>1</v>
      </c>
    </row>
    <row r="619" spans="1:18" x14ac:dyDescent="0.35">
      <c r="A619" s="11" t="s">
        <v>82</v>
      </c>
      <c r="B619" s="11" t="s">
        <v>1490</v>
      </c>
      <c r="C619" s="11" t="s">
        <v>1491</v>
      </c>
      <c r="D619" s="11" t="s">
        <v>250</v>
      </c>
      <c r="E619" s="11" t="s">
        <v>251</v>
      </c>
      <c r="F619" s="11" t="s">
        <v>255</v>
      </c>
      <c r="G619" s="11" t="s">
        <v>256</v>
      </c>
      <c r="I619" t="s">
        <v>1491</v>
      </c>
      <c r="K619" t="s">
        <v>256</v>
      </c>
      <c r="L619" t="s">
        <v>250</v>
      </c>
      <c r="M619" t="s">
        <v>251</v>
      </c>
      <c r="N619" t="s">
        <v>2459</v>
      </c>
      <c r="O619" t="s">
        <v>2459</v>
      </c>
      <c r="Q619">
        <f t="shared" si="18"/>
        <v>1</v>
      </c>
      <c r="R619">
        <f t="shared" si="19"/>
        <v>1</v>
      </c>
    </row>
    <row r="620" spans="1:18" x14ac:dyDescent="0.35">
      <c r="A620" s="11" t="s">
        <v>82</v>
      </c>
      <c r="B620" s="11" t="s">
        <v>1492</v>
      </c>
      <c r="C620" s="11" t="s">
        <v>256</v>
      </c>
      <c r="D620" s="11" t="s">
        <v>250</v>
      </c>
      <c r="E620" s="11" t="s">
        <v>251</v>
      </c>
      <c r="F620" s="11" t="s">
        <v>255</v>
      </c>
      <c r="G620" s="11" t="s">
        <v>256</v>
      </c>
      <c r="I620" t="s">
        <v>256</v>
      </c>
      <c r="K620" t="s">
        <v>256</v>
      </c>
      <c r="L620" t="s">
        <v>250</v>
      </c>
      <c r="M620" t="s">
        <v>251</v>
      </c>
      <c r="N620" t="s">
        <v>2459</v>
      </c>
      <c r="O620" t="s">
        <v>2459</v>
      </c>
      <c r="Q620">
        <f t="shared" si="18"/>
        <v>1</v>
      </c>
      <c r="R620">
        <f t="shared" si="19"/>
        <v>1</v>
      </c>
    </row>
    <row r="621" spans="1:18" x14ac:dyDescent="0.35">
      <c r="A621" s="11" t="s">
        <v>82</v>
      </c>
      <c r="B621" s="11" t="s">
        <v>1493</v>
      </c>
      <c r="C621" s="11" t="s">
        <v>1494</v>
      </c>
      <c r="D621" s="11" t="s">
        <v>250</v>
      </c>
      <c r="E621" s="11" t="s">
        <v>251</v>
      </c>
      <c r="F621" s="11" t="s">
        <v>255</v>
      </c>
      <c r="G621" s="11" t="s">
        <v>256</v>
      </c>
      <c r="I621" t="s">
        <v>1494</v>
      </c>
      <c r="K621" t="s">
        <v>256</v>
      </c>
      <c r="L621" t="s">
        <v>250</v>
      </c>
      <c r="M621" t="s">
        <v>251</v>
      </c>
      <c r="N621" t="s">
        <v>2459</v>
      </c>
      <c r="O621" t="s">
        <v>2459</v>
      </c>
      <c r="Q621">
        <f t="shared" si="18"/>
        <v>1</v>
      </c>
      <c r="R621">
        <f t="shared" si="19"/>
        <v>1</v>
      </c>
    </row>
    <row r="622" spans="1:18" x14ac:dyDescent="0.35">
      <c r="A622" s="11" t="s">
        <v>82</v>
      </c>
      <c r="B622" s="11" t="s">
        <v>1495</v>
      </c>
      <c r="C622" s="11" t="s">
        <v>1496</v>
      </c>
      <c r="D622" s="11" t="s">
        <v>250</v>
      </c>
      <c r="E622" s="11" t="s">
        <v>251</v>
      </c>
      <c r="F622" s="11" t="s">
        <v>255</v>
      </c>
      <c r="G622" s="11" t="s">
        <v>256</v>
      </c>
      <c r="I622" t="s">
        <v>1496</v>
      </c>
      <c r="K622" t="s">
        <v>256</v>
      </c>
      <c r="L622" t="s">
        <v>250</v>
      </c>
      <c r="M622" t="s">
        <v>251</v>
      </c>
      <c r="N622" t="s">
        <v>2459</v>
      </c>
      <c r="O622" t="s">
        <v>2459</v>
      </c>
      <c r="Q622">
        <f t="shared" si="18"/>
        <v>1</v>
      </c>
      <c r="R622">
        <f t="shared" si="19"/>
        <v>1</v>
      </c>
    </row>
    <row r="623" spans="1:18" x14ac:dyDescent="0.35">
      <c r="A623" s="11" t="s">
        <v>82</v>
      </c>
      <c r="B623" s="11" t="s">
        <v>1497</v>
      </c>
      <c r="C623" s="11" t="s">
        <v>1498</v>
      </c>
      <c r="D623" s="11" t="s">
        <v>250</v>
      </c>
      <c r="E623" s="11" t="s">
        <v>251</v>
      </c>
      <c r="F623" s="11" t="s">
        <v>255</v>
      </c>
      <c r="G623" s="11" t="s">
        <v>256</v>
      </c>
      <c r="I623" t="s">
        <v>1498</v>
      </c>
      <c r="K623" t="s">
        <v>256</v>
      </c>
      <c r="L623" t="s">
        <v>250</v>
      </c>
      <c r="M623" t="s">
        <v>251</v>
      </c>
      <c r="N623" t="s">
        <v>2459</v>
      </c>
      <c r="O623" t="s">
        <v>2459</v>
      </c>
      <c r="Q623">
        <f t="shared" si="18"/>
        <v>1</v>
      </c>
      <c r="R623">
        <f t="shared" si="19"/>
        <v>1</v>
      </c>
    </row>
    <row r="624" spans="1:18" x14ac:dyDescent="0.35">
      <c r="A624" s="11" t="s">
        <v>82</v>
      </c>
      <c r="B624" s="11" t="s">
        <v>1499</v>
      </c>
      <c r="C624" s="11" t="s">
        <v>1500</v>
      </c>
      <c r="D624" s="11" t="s">
        <v>258</v>
      </c>
      <c r="E624" s="11" t="s">
        <v>259</v>
      </c>
      <c r="F624" s="11" t="s">
        <v>260</v>
      </c>
      <c r="G624" s="11" t="s">
        <v>261</v>
      </c>
      <c r="I624" t="s">
        <v>1500</v>
      </c>
      <c r="K624" t="s">
        <v>261</v>
      </c>
      <c r="L624" t="s">
        <v>258</v>
      </c>
      <c r="M624" t="s">
        <v>259</v>
      </c>
      <c r="N624" t="s">
        <v>2459</v>
      </c>
      <c r="O624" t="s">
        <v>2459</v>
      </c>
      <c r="Q624">
        <f t="shared" si="18"/>
        <v>1</v>
      </c>
      <c r="R624">
        <f t="shared" si="19"/>
        <v>1</v>
      </c>
    </row>
    <row r="625" spans="1:18" x14ac:dyDescent="0.35">
      <c r="A625" s="11" t="s">
        <v>82</v>
      </c>
      <c r="B625" s="11" t="s">
        <v>1501</v>
      </c>
      <c r="C625" s="11" t="s">
        <v>1502</v>
      </c>
      <c r="D625" s="11" t="s">
        <v>258</v>
      </c>
      <c r="E625" s="11" t="s">
        <v>259</v>
      </c>
      <c r="F625" s="11" t="s">
        <v>260</v>
      </c>
      <c r="G625" s="11" t="s">
        <v>261</v>
      </c>
      <c r="I625" t="s">
        <v>1502</v>
      </c>
      <c r="K625" t="s">
        <v>261</v>
      </c>
      <c r="L625" t="s">
        <v>258</v>
      </c>
      <c r="M625" t="s">
        <v>259</v>
      </c>
      <c r="N625" t="s">
        <v>2459</v>
      </c>
      <c r="O625" t="s">
        <v>2459</v>
      </c>
      <c r="Q625">
        <f t="shared" si="18"/>
        <v>1</v>
      </c>
      <c r="R625">
        <f t="shared" si="19"/>
        <v>1</v>
      </c>
    </row>
    <row r="626" spans="1:18" x14ac:dyDescent="0.35">
      <c r="A626" s="11" t="s">
        <v>82</v>
      </c>
      <c r="B626" s="11" t="s">
        <v>1503</v>
      </c>
      <c r="C626" s="11" t="s">
        <v>1504</v>
      </c>
      <c r="D626" s="11" t="s">
        <v>258</v>
      </c>
      <c r="E626" s="11" t="s">
        <v>259</v>
      </c>
      <c r="F626" s="11" t="s">
        <v>260</v>
      </c>
      <c r="G626" s="11" t="s">
        <v>261</v>
      </c>
      <c r="I626" t="s">
        <v>1504</v>
      </c>
      <c r="K626" t="s">
        <v>261</v>
      </c>
      <c r="L626" t="s">
        <v>258</v>
      </c>
      <c r="M626" t="s">
        <v>259</v>
      </c>
      <c r="N626" t="s">
        <v>2459</v>
      </c>
      <c r="O626" t="s">
        <v>2459</v>
      </c>
      <c r="Q626">
        <f t="shared" si="18"/>
        <v>1</v>
      </c>
      <c r="R626">
        <f t="shared" si="19"/>
        <v>1</v>
      </c>
    </row>
    <row r="627" spans="1:18" x14ac:dyDescent="0.35">
      <c r="A627" s="11" t="s">
        <v>82</v>
      </c>
      <c r="B627" s="11" t="s">
        <v>1505</v>
      </c>
      <c r="C627" s="11" t="s">
        <v>1506</v>
      </c>
      <c r="D627" s="11" t="s">
        <v>258</v>
      </c>
      <c r="E627" s="11" t="s">
        <v>259</v>
      </c>
      <c r="F627" s="11" t="s">
        <v>260</v>
      </c>
      <c r="G627" s="11" t="s">
        <v>261</v>
      </c>
      <c r="I627" t="s">
        <v>1506</v>
      </c>
      <c r="K627" t="s">
        <v>261</v>
      </c>
      <c r="L627" t="s">
        <v>258</v>
      </c>
      <c r="M627" t="s">
        <v>259</v>
      </c>
      <c r="N627" t="s">
        <v>2459</v>
      </c>
      <c r="O627" t="s">
        <v>2459</v>
      </c>
      <c r="Q627">
        <f t="shared" si="18"/>
        <v>1</v>
      </c>
      <c r="R627">
        <f t="shared" si="19"/>
        <v>1</v>
      </c>
    </row>
    <row r="628" spans="1:18" x14ac:dyDescent="0.35">
      <c r="A628" s="11" t="s">
        <v>82</v>
      </c>
      <c r="B628" s="11" t="s">
        <v>1507</v>
      </c>
      <c r="C628" s="11" t="s">
        <v>1508</v>
      </c>
      <c r="D628" s="11" t="s">
        <v>258</v>
      </c>
      <c r="E628" s="11" t="s">
        <v>259</v>
      </c>
      <c r="F628" s="11" t="s">
        <v>260</v>
      </c>
      <c r="G628" s="11" t="s">
        <v>261</v>
      </c>
      <c r="I628" t="s">
        <v>1508</v>
      </c>
      <c r="K628" t="s">
        <v>261</v>
      </c>
      <c r="L628" t="s">
        <v>258</v>
      </c>
      <c r="M628" t="s">
        <v>259</v>
      </c>
      <c r="N628" t="s">
        <v>2459</v>
      </c>
      <c r="O628" t="s">
        <v>2459</v>
      </c>
      <c r="Q628">
        <f t="shared" si="18"/>
        <v>1</v>
      </c>
      <c r="R628">
        <f t="shared" si="19"/>
        <v>1</v>
      </c>
    </row>
    <row r="629" spans="1:18" x14ac:dyDescent="0.35">
      <c r="A629" s="11" t="s">
        <v>82</v>
      </c>
      <c r="B629" s="11" t="s">
        <v>1509</v>
      </c>
      <c r="C629" s="11" t="s">
        <v>1510</v>
      </c>
      <c r="D629" s="11" t="s">
        <v>258</v>
      </c>
      <c r="E629" s="11" t="s">
        <v>259</v>
      </c>
      <c r="F629" s="11" t="s">
        <v>260</v>
      </c>
      <c r="G629" s="11" t="s">
        <v>261</v>
      </c>
      <c r="I629" t="s">
        <v>1510</v>
      </c>
      <c r="K629" t="s">
        <v>261</v>
      </c>
      <c r="L629" t="s">
        <v>258</v>
      </c>
      <c r="M629" t="s">
        <v>259</v>
      </c>
      <c r="N629" t="s">
        <v>2459</v>
      </c>
      <c r="O629" t="s">
        <v>2459</v>
      </c>
      <c r="Q629">
        <f t="shared" si="18"/>
        <v>1</v>
      </c>
      <c r="R629">
        <f t="shared" si="19"/>
        <v>1</v>
      </c>
    </row>
    <row r="630" spans="1:18" x14ac:dyDescent="0.35">
      <c r="A630" s="11" t="s">
        <v>82</v>
      </c>
      <c r="B630" s="11" t="s">
        <v>1511</v>
      </c>
      <c r="C630" s="11" t="s">
        <v>1512</v>
      </c>
      <c r="D630" s="11" t="s">
        <v>258</v>
      </c>
      <c r="E630" s="11" t="s">
        <v>259</v>
      </c>
      <c r="F630" s="11" t="s">
        <v>263</v>
      </c>
      <c r="G630" s="11" t="s">
        <v>264</v>
      </c>
      <c r="I630" t="s">
        <v>1512</v>
      </c>
      <c r="K630" t="s">
        <v>264</v>
      </c>
      <c r="L630" t="s">
        <v>258</v>
      </c>
      <c r="M630" t="s">
        <v>259</v>
      </c>
      <c r="N630" t="s">
        <v>2459</v>
      </c>
      <c r="O630" t="s">
        <v>2459</v>
      </c>
      <c r="Q630">
        <f t="shared" si="18"/>
        <v>1</v>
      </c>
      <c r="R630">
        <f t="shared" si="19"/>
        <v>1</v>
      </c>
    </row>
    <row r="631" spans="1:18" x14ac:dyDescent="0.35">
      <c r="A631" s="11" t="s">
        <v>82</v>
      </c>
      <c r="B631" s="11" t="s">
        <v>1513</v>
      </c>
      <c r="C631" s="11" t="s">
        <v>259</v>
      </c>
      <c r="D631" s="11" t="s">
        <v>258</v>
      </c>
      <c r="E631" s="11" t="s">
        <v>259</v>
      </c>
      <c r="F631" s="11" t="s">
        <v>263</v>
      </c>
      <c r="G631" s="11" t="s">
        <v>264</v>
      </c>
      <c r="I631" t="s">
        <v>259</v>
      </c>
      <c r="K631" t="s">
        <v>264</v>
      </c>
      <c r="L631" t="s">
        <v>258</v>
      </c>
      <c r="M631" t="s">
        <v>259</v>
      </c>
      <c r="N631" t="s">
        <v>2459</v>
      </c>
      <c r="O631" t="s">
        <v>2459</v>
      </c>
      <c r="Q631">
        <f t="shared" si="18"/>
        <v>1</v>
      </c>
      <c r="R631">
        <f t="shared" si="19"/>
        <v>1</v>
      </c>
    </row>
    <row r="632" spans="1:18" x14ac:dyDescent="0.35">
      <c r="A632" s="11" t="s">
        <v>82</v>
      </c>
      <c r="B632" s="11" t="s">
        <v>1514</v>
      </c>
      <c r="C632" s="11" t="s">
        <v>1515</v>
      </c>
      <c r="D632" s="11" t="s">
        <v>258</v>
      </c>
      <c r="E632" s="11" t="s">
        <v>259</v>
      </c>
      <c r="F632" s="11" t="s">
        <v>263</v>
      </c>
      <c r="G632" s="11" t="s">
        <v>264</v>
      </c>
      <c r="I632" t="s">
        <v>1515</v>
      </c>
      <c r="K632" t="s">
        <v>264</v>
      </c>
      <c r="L632" t="s">
        <v>258</v>
      </c>
      <c r="M632" t="s">
        <v>259</v>
      </c>
      <c r="N632" t="s">
        <v>2459</v>
      </c>
      <c r="O632" t="s">
        <v>2459</v>
      </c>
      <c r="Q632">
        <f t="shared" si="18"/>
        <v>1</v>
      </c>
      <c r="R632">
        <f t="shared" si="19"/>
        <v>1</v>
      </c>
    </row>
    <row r="633" spans="1:18" x14ac:dyDescent="0.35">
      <c r="A633" s="11" t="s">
        <v>82</v>
      </c>
      <c r="B633" s="11" t="s">
        <v>1516</v>
      </c>
      <c r="C633" s="11" t="s">
        <v>1517</v>
      </c>
      <c r="D633" s="11" t="s">
        <v>258</v>
      </c>
      <c r="E633" s="11" t="s">
        <v>259</v>
      </c>
      <c r="F633" s="11" t="s">
        <v>263</v>
      </c>
      <c r="G633" s="11" t="s">
        <v>264</v>
      </c>
      <c r="I633" t="s">
        <v>1517</v>
      </c>
      <c r="K633" t="s">
        <v>264</v>
      </c>
      <c r="L633" t="s">
        <v>258</v>
      </c>
      <c r="M633" t="s">
        <v>259</v>
      </c>
      <c r="N633" t="s">
        <v>2459</v>
      </c>
      <c r="O633" t="s">
        <v>2459</v>
      </c>
      <c r="Q633">
        <f t="shared" si="18"/>
        <v>1</v>
      </c>
      <c r="R633">
        <f t="shared" si="19"/>
        <v>1</v>
      </c>
    </row>
    <row r="634" spans="1:18" x14ac:dyDescent="0.35">
      <c r="A634" s="11" t="s">
        <v>82</v>
      </c>
      <c r="B634" s="11" t="s">
        <v>1518</v>
      </c>
      <c r="C634" s="11" t="s">
        <v>1519</v>
      </c>
      <c r="D634" s="11" t="s">
        <v>258</v>
      </c>
      <c r="E634" s="11" t="s">
        <v>259</v>
      </c>
      <c r="F634" s="11" t="s">
        <v>263</v>
      </c>
      <c r="G634" s="11" t="s">
        <v>264</v>
      </c>
      <c r="I634" t="s">
        <v>1519</v>
      </c>
      <c r="K634" t="s">
        <v>264</v>
      </c>
      <c r="L634" t="s">
        <v>258</v>
      </c>
      <c r="M634" t="s">
        <v>259</v>
      </c>
      <c r="N634" t="s">
        <v>2459</v>
      </c>
      <c r="O634" t="s">
        <v>2459</v>
      </c>
      <c r="Q634">
        <f t="shared" si="18"/>
        <v>1</v>
      </c>
      <c r="R634">
        <f t="shared" si="19"/>
        <v>1</v>
      </c>
    </row>
    <row r="635" spans="1:18" x14ac:dyDescent="0.35">
      <c r="A635" s="11" t="s">
        <v>82</v>
      </c>
      <c r="B635" s="11" t="s">
        <v>1520</v>
      </c>
      <c r="C635" s="11" t="s">
        <v>1521</v>
      </c>
      <c r="D635" s="11" t="s">
        <v>258</v>
      </c>
      <c r="E635" s="11" t="s">
        <v>259</v>
      </c>
      <c r="F635" s="11" t="s">
        <v>263</v>
      </c>
      <c r="G635" s="11" t="s">
        <v>264</v>
      </c>
      <c r="I635" t="s">
        <v>1521</v>
      </c>
      <c r="K635" t="s">
        <v>264</v>
      </c>
      <c r="L635" t="s">
        <v>258</v>
      </c>
      <c r="M635" t="s">
        <v>259</v>
      </c>
      <c r="N635" t="s">
        <v>2459</v>
      </c>
      <c r="O635" t="s">
        <v>2459</v>
      </c>
      <c r="Q635">
        <f t="shared" si="18"/>
        <v>1</v>
      </c>
      <c r="R635">
        <f t="shared" si="19"/>
        <v>1</v>
      </c>
    </row>
    <row r="636" spans="1:18" x14ac:dyDescent="0.35">
      <c r="A636" s="11" t="s">
        <v>82</v>
      </c>
      <c r="B636" s="11" t="s">
        <v>1522</v>
      </c>
      <c r="C636" s="11" t="s">
        <v>1523</v>
      </c>
      <c r="D636" s="11" t="s">
        <v>258</v>
      </c>
      <c r="E636" s="11" t="s">
        <v>259</v>
      </c>
      <c r="F636" s="11" t="s">
        <v>263</v>
      </c>
      <c r="G636" s="11" t="s">
        <v>264</v>
      </c>
      <c r="I636" t="s">
        <v>1523</v>
      </c>
      <c r="K636" t="s">
        <v>264</v>
      </c>
      <c r="L636" t="s">
        <v>258</v>
      </c>
      <c r="M636" t="s">
        <v>259</v>
      </c>
      <c r="N636" t="s">
        <v>2459</v>
      </c>
      <c r="O636" t="s">
        <v>2459</v>
      </c>
      <c r="Q636">
        <f t="shared" si="18"/>
        <v>1</v>
      </c>
      <c r="R636">
        <f t="shared" si="19"/>
        <v>1</v>
      </c>
    </row>
    <row r="637" spans="1:18" x14ac:dyDescent="0.35">
      <c r="A637" s="11" t="s">
        <v>82</v>
      </c>
      <c r="B637" s="11" t="s">
        <v>1524</v>
      </c>
      <c r="C637" s="11" t="s">
        <v>1525</v>
      </c>
      <c r="D637" s="11" t="s">
        <v>266</v>
      </c>
      <c r="E637" s="11" t="s">
        <v>267</v>
      </c>
      <c r="F637" s="11" t="s">
        <v>268</v>
      </c>
      <c r="G637" s="11" t="s">
        <v>269</v>
      </c>
      <c r="I637" t="s">
        <v>1525</v>
      </c>
      <c r="K637" t="s">
        <v>269</v>
      </c>
      <c r="L637" t="s">
        <v>266</v>
      </c>
      <c r="M637" t="s">
        <v>267</v>
      </c>
      <c r="N637" t="s">
        <v>2459</v>
      </c>
      <c r="O637" t="s">
        <v>2459</v>
      </c>
      <c r="Q637">
        <f t="shared" si="18"/>
        <v>1</v>
      </c>
      <c r="R637">
        <f t="shared" si="19"/>
        <v>1</v>
      </c>
    </row>
    <row r="638" spans="1:18" x14ac:dyDescent="0.35">
      <c r="A638" s="11" t="s">
        <v>82</v>
      </c>
      <c r="B638" s="11" t="s">
        <v>1526</v>
      </c>
      <c r="C638" s="11" t="s">
        <v>1527</v>
      </c>
      <c r="D638" s="11" t="s">
        <v>266</v>
      </c>
      <c r="E638" s="11" t="s">
        <v>267</v>
      </c>
      <c r="F638" s="11" t="s">
        <v>268</v>
      </c>
      <c r="G638" s="11" t="s">
        <v>269</v>
      </c>
      <c r="I638" t="s">
        <v>1527</v>
      </c>
      <c r="K638" t="s">
        <v>269</v>
      </c>
      <c r="L638" t="s">
        <v>266</v>
      </c>
      <c r="M638" t="s">
        <v>267</v>
      </c>
      <c r="N638" t="s">
        <v>2459</v>
      </c>
      <c r="O638" t="s">
        <v>2459</v>
      </c>
      <c r="Q638">
        <f t="shared" si="18"/>
        <v>1</v>
      </c>
      <c r="R638">
        <f t="shared" si="19"/>
        <v>1</v>
      </c>
    </row>
    <row r="639" spans="1:18" x14ac:dyDescent="0.35">
      <c r="A639" s="11" t="s">
        <v>82</v>
      </c>
      <c r="B639" s="11" t="s">
        <v>1528</v>
      </c>
      <c r="C639" s="11" t="s">
        <v>1529</v>
      </c>
      <c r="D639" s="11" t="s">
        <v>266</v>
      </c>
      <c r="E639" s="11" t="s">
        <v>267</v>
      </c>
      <c r="F639" s="11" t="s">
        <v>268</v>
      </c>
      <c r="G639" s="11" t="s">
        <v>269</v>
      </c>
      <c r="I639" t="s">
        <v>1529</v>
      </c>
      <c r="K639" t="s">
        <v>51</v>
      </c>
      <c r="L639" t="s">
        <v>266</v>
      </c>
      <c r="M639" t="s">
        <v>267</v>
      </c>
      <c r="N639" t="s">
        <v>2410</v>
      </c>
      <c r="O639" t="s">
        <v>2459</v>
      </c>
      <c r="Q639" t="e">
        <f t="shared" si="18"/>
        <v>#N/A</v>
      </c>
      <c r="R639">
        <f t="shared" si="19"/>
        <v>1</v>
      </c>
    </row>
    <row r="640" spans="1:18" x14ac:dyDescent="0.35">
      <c r="A640" s="11"/>
      <c r="B640" s="11"/>
      <c r="C640" s="11"/>
      <c r="D640" s="11"/>
      <c r="E640" s="11"/>
      <c r="F640" s="11"/>
      <c r="G640" s="11"/>
      <c r="I640" t="s">
        <v>2151</v>
      </c>
      <c r="K640" t="s">
        <v>272</v>
      </c>
      <c r="L640" t="s">
        <v>266</v>
      </c>
      <c r="M640" t="s">
        <v>267</v>
      </c>
      <c r="N640" t="s">
        <v>2410</v>
      </c>
      <c r="O640" t="s">
        <v>2459</v>
      </c>
      <c r="P640" t="s">
        <v>2280</v>
      </c>
      <c r="Q640" t="e">
        <f t="shared" si="18"/>
        <v>#N/A</v>
      </c>
      <c r="R640" t="e">
        <f t="shared" si="19"/>
        <v>#N/A</v>
      </c>
    </row>
    <row r="641" spans="1:18" x14ac:dyDescent="0.35">
      <c r="A641" s="11"/>
      <c r="B641" s="11"/>
      <c r="C641" s="11"/>
      <c r="D641" s="11"/>
      <c r="E641" s="11"/>
      <c r="F641" s="11"/>
      <c r="G641" s="11"/>
      <c r="I641" t="s">
        <v>2152</v>
      </c>
      <c r="K641" t="s">
        <v>272</v>
      </c>
      <c r="L641" t="s">
        <v>266</v>
      </c>
      <c r="M641" t="s">
        <v>267</v>
      </c>
      <c r="N641" t="s">
        <v>2410</v>
      </c>
      <c r="O641" t="s">
        <v>2459</v>
      </c>
      <c r="P641" t="s">
        <v>2280</v>
      </c>
      <c r="Q641" t="e">
        <f t="shared" si="18"/>
        <v>#N/A</v>
      </c>
      <c r="R641" t="e">
        <f t="shared" si="19"/>
        <v>#N/A</v>
      </c>
    </row>
    <row r="642" spans="1:18" x14ac:dyDescent="0.35">
      <c r="A642" s="11"/>
      <c r="B642" s="11"/>
      <c r="C642" s="11"/>
      <c r="D642" s="11"/>
      <c r="E642" s="11"/>
      <c r="F642" s="11"/>
      <c r="G642" s="11"/>
      <c r="I642" t="s">
        <v>2172</v>
      </c>
      <c r="K642" t="s">
        <v>53</v>
      </c>
      <c r="L642" t="s">
        <v>274</v>
      </c>
      <c r="M642" t="s">
        <v>275</v>
      </c>
      <c r="N642" t="s">
        <v>2410</v>
      </c>
      <c r="O642" t="s">
        <v>2410</v>
      </c>
      <c r="P642" t="s">
        <v>2280</v>
      </c>
      <c r="Q642" t="e">
        <f t="shared" si="18"/>
        <v>#N/A</v>
      </c>
      <c r="R642" t="e">
        <f t="shared" si="19"/>
        <v>#N/A</v>
      </c>
    </row>
    <row r="643" spans="1:18" x14ac:dyDescent="0.35">
      <c r="A643" s="11" t="s">
        <v>82</v>
      </c>
      <c r="B643" s="11" t="s">
        <v>1530</v>
      </c>
      <c r="C643" s="11" t="s">
        <v>1531</v>
      </c>
      <c r="D643" s="11" t="s">
        <v>266</v>
      </c>
      <c r="E643" s="11" t="s">
        <v>267</v>
      </c>
      <c r="F643" s="11" t="s">
        <v>268</v>
      </c>
      <c r="G643" s="11" t="s">
        <v>269</v>
      </c>
      <c r="I643" t="s">
        <v>1531</v>
      </c>
      <c r="K643" t="s">
        <v>272</v>
      </c>
      <c r="L643" t="s">
        <v>266</v>
      </c>
      <c r="M643" t="s">
        <v>267</v>
      </c>
      <c r="N643" t="s">
        <v>2410</v>
      </c>
      <c r="O643" t="s">
        <v>2459</v>
      </c>
      <c r="Q643" t="e">
        <f t="shared" ref="Q643:Q706" si="20">MATCH(G643,K643,0)</f>
        <v>#N/A</v>
      </c>
      <c r="R643">
        <f t="shared" ref="R643:R706" si="21">MATCH(E643,M643,0)</f>
        <v>1</v>
      </c>
    </row>
    <row r="644" spans="1:18" x14ac:dyDescent="0.35">
      <c r="A644" s="11" t="s">
        <v>82</v>
      </c>
      <c r="B644" s="11" t="s">
        <v>1532</v>
      </c>
      <c r="C644" s="11" t="s">
        <v>1533</v>
      </c>
      <c r="D644" s="11" t="s">
        <v>266</v>
      </c>
      <c r="E644" s="11" t="s">
        <v>267</v>
      </c>
      <c r="F644" s="11" t="s">
        <v>268</v>
      </c>
      <c r="G644" s="11" t="s">
        <v>269</v>
      </c>
      <c r="I644" t="s">
        <v>1533</v>
      </c>
      <c r="K644" t="s">
        <v>51</v>
      </c>
      <c r="L644" t="s">
        <v>266</v>
      </c>
      <c r="M644" t="s">
        <v>267</v>
      </c>
      <c r="N644" t="s">
        <v>2410</v>
      </c>
      <c r="O644" t="s">
        <v>2459</v>
      </c>
      <c r="Q644" t="e">
        <f t="shared" si="20"/>
        <v>#N/A</v>
      </c>
      <c r="R644">
        <f t="shared" si="21"/>
        <v>1</v>
      </c>
    </row>
    <row r="645" spans="1:18" x14ac:dyDescent="0.35">
      <c r="A645" s="11" t="s">
        <v>82</v>
      </c>
      <c r="B645" s="11" t="s">
        <v>1534</v>
      </c>
      <c r="C645" s="11" t="s">
        <v>1535</v>
      </c>
      <c r="D645" s="11" t="s">
        <v>266</v>
      </c>
      <c r="E645" s="11" t="s">
        <v>267</v>
      </c>
      <c r="F645" s="11" t="s">
        <v>268</v>
      </c>
      <c r="G645" s="11" t="s">
        <v>269</v>
      </c>
      <c r="I645" t="s">
        <v>1535</v>
      </c>
      <c r="K645" t="s">
        <v>269</v>
      </c>
      <c r="L645" t="s">
        <v>266</v>
      </c>
      <c r="M645" t="s">
        <v>267</v>
      </c>
      <c r="N645" t="s">
        <v>2459</v>
      </c>
      <c r="O645" t="s">
        <v>2459</v>
      </c>
      <c r="Q645">
        <f t="shared" si="20"/>
        <v>1</v>
      </c>
      <c r="R645">
        <f t="shared" si="21"/>
        <v>1</v>
      </c>
    </row>
    <row r="646" spans="1:18" x14ac:dyDescent="0.35">
      <c r="A646" s="11" t="s">
        <v>82</v>
      </c>
      <c r="B646" s="11" t="s">
        <v>1536</v>
      </c>
      <c r="C646" s="11" t="s">
        <v>1537</v>
      </c>
      <c r="D646" s="11" t="s">
        <v>266</v>
      </c>
      <c r="E646" s="11" t="s">
        <v>267</v>
      </c>
      <c r="F646" s="11" t="s">
        <v>268</v>
      </c>
      <c r="G646" s="11" t="s">
        <v>269</v>
      </c>
      <c r="I646" t="s">
        <v>1537</v>
      </c>
      <c r="K646" t="s">
        <v>269</v>
      </c>
      <c r="L646" t="s">
        <v>266</v>
      </c>
      <c r="M646" t="s">
        <v>267</v>
      </c>
      <c r="N646" t="s">
        <v>2459</v>
      </c>
      <c r="O646" t="s">
        <v>2459</v>
      </c>
      <c r="Q646">
        <f t="shared" si="20"/>
        <v>1</v>
      </c>
      <c r="R646">
        <f t="shared" si="21"/>
        <v>1</v>
      </c>
    </row>
    <row r="647" spans="1:18" x14ac:dyDescent="0.35">
      <c r="A647" s="11" t="s">
        <v>82</v>
      </c>
      <c r="B647" s="11" t="s">
        <v>1538</v>
      </c>
      <c r="C647" s="11" t="s">
        <v>1539</v>
      </c>
      <c r="D647" s="11" t="s">
        <v>266</v>
      </c>
      <c r="E647" s="11" t="s">
        <v>267</v>
      </c>
      <c r="F647" s="11" t="s">
        <v>268</v>
      </c>
      <c r="G647" s="11" t="s">
        <v>269</v>
      </c>
      <c r="I647" t="s">
        <v>1539</v>
      </c>
      <c r="K647" t="s">
        <v>269</v>
      </c>
      <c r="L647" t="s">
        <v>266</v>
      </c>
      <c r="M647" t="s">
        <v>267</v>
      </c>
      <c r="N647" t="s">
        <v>2459</v>
      </c>
      <c r="O647" t="s">
        <v>2459</v>
      </c>
      <c r="Q647">
        <f t="shared" si="20"/>
        <v>1</v>
      </c>
      <c r="R647">
        <f t="shared" si="21"/>
        <v>1</v>
      </c>
    </row>
    <row r="648" spans="1:18" x14ac:dyDescent="0.35">
      <c r="A648" s="11" t="s">
        <v>82</v>
      </c>
      <c r="B648" s="11" t="s">
        <v>1540</v>
      </c>
      <c r="C648" s="11" t="s">
        <v>1541</v>
      </c>
      <c r="D648" s="11" t="s">
        <v>266</v>
      </c>
      <c r="E648" s="11" t="s">
        <v>267</v>
      </c>
      <c r="F648" s="11" t="s">
        <v>268</v>
      </c>
      <c r="G648" s="11" t="s">
        <v>269</v>
      </c>
      <c r="I648" t="s">
        <v>1541</v>
      </c>
      <c r="K648" t="s">
        <v>269</v>
      </c>
      <c r="L648" t="s">
        <v>266</v>
      </c>
      <c r="M648" t="s">
        <v>267</v>
      </c>
      <c r="N648" t="s">
        <v>2459</v>
      </c>
      <c r="O648" t="s">
        <v>2459</v>
      </c>
      <c r="Q648">
        <f t="shared" si="20"/>
        <v>1</v>
      </c>
      <c r="R648">
        <f t="shared" si="21"/>
        <v>1</v>
      </c>
    </row>
    <row r="649" spans="1:18" x14ac:dyDescent="0.35">
      <c r="A649" s="11" t="s">
        <v>82</v>
      </c>
      <c r="B649" s="11" t="s">
        <v>1542</v>
      </c>
      <c r="C649" s="11" t="s">
        <v>1543</v>
      </c>
      <c r="D649" s="11" t="s">
        <v>266</v>
      </c>
      <c r="E649" s="11" t="s">
        <v>267</v>
      </c>
      <c r="F649" s="11" t="s">
        <v>268</v>
      </c>
      <c r="G649" s="11" t="s">
        <v>269</v>
      </c>
      <c r="I649" t="s">
        <v>1543</v>
      </c>
      <c r="K649" t="s">
        <v>269</v>
      </c>
      <c r="L649" t="s">
        <v>266</v>
      </c>
      <c r="M649" t="s">
        <v>267</v>
      </c>
      <c r="N649" t="s">
        <v>2459</v>
      </c>
      <c r="O649" t="s">
        <v>2459</v>
      </c>
      <c r="Q649">
        <f t="shared" si="20"/>
        <v>1</v>
      </c>
      <c r="R649">
        <f t="shared" si="21"/>
        <v>1</v>
      </c>
    </row>
    <row r="650" spans="1:18" x14ac:dyDescent="0.35">
      <c r="A650" s="11" t="s">
        <v>82</v>
      </c>
      <c r="B650" s="11" t="s">
        <v>1544</v>
      </c>
      <c r="C650" s="11" t="s">
        <v>1545</v>
      </c>
      <c r="D650" s="11" t="s">
        <v>266</v>
      </c>
      <c r="E650" s="11" t="s">
        <v>267</v>
      </c>
      <c r="F650" s="11" t="s">
        <v>268</v>
      </c>
      <c r="G650" s="11" t="s">
        <v>269</v>
      </c>
      <c r="I650" t="s">
        <v>1545</v>
      </c>
      <c r="K650" t="s">
        <v>269</v>
      </c>
      <c r="L650" t="s">
        <v>266</v>
      </c>
      <c r="M650" t="s">
        <v>267</v>
      </c>
      <c r="N650" t="s">
        <v>2459</v>
      </c>
      <c r="O650" t="s">
        <v>2459</v>
      </c>
      <c r="Q650">
        <f t="shared" si="20"/>
        <v>1</v>
      </c>
      <c r="R650">
        <f t="shared" si="21"/>
        <v>1</v>
      </c>
    </row>
    <row r="651" spans="1:18" x14ac:dyDescent="0.35">
      <c r="A651" s="11" t="s">
        <v>82</v>
      </c>
      <c r="B651" s="11" t="s">
        <v>1546</v>
      </c>
      <c r="C651" s="11" t="s">
        <v>1547</v>
      </c>
      <c r="D651" s="11" t="s">
        <v>266</v>
      </c>
      <c r="E651" s="11" t="s">
        <v>267</v>
      </c>
      <c r="F651" s="11" t="s">
        <v>268</v>
      </c>
      <c r="G651" s="11" t="s">
        <v>269</v>
      </c>
      <c r="I651" t="s">
        <v>1547</v>
      </c>
      <c r="K651" t="s">
        <v>269</v>
      </c>
      <c r="L651" t="s">
        <v>266</v>
      </c>
      <c r="M651" t="s">
        <v>267</v>
      </c>
      <c r="N651" t="s">
        <v>2459</v>
      </c>
      <c r="O651" t="s">
        <v>2459</v>
      </c>
      <c r="Q651">
        <f t="shared" si="20"/>
        <v>1</v>
      </c>
      <c r="R651">
        <f t="shared" si="21"/>
        <v>1</v>
      </c>
    </row>
    <row r="652" spans="1:18" x14ac:dyDescent="0.35">
      <c r="A652" s="11" t="s">
        <v>82</v>
      </c>
      <c r="B652" s="11" t="s">
        <v>1548</v>
      </c>
      <c r="C652" s="11" t="s">
        <v>1549</v>
      </c>
      <c r="D652" s="11" t="s">
        <v>266</v>
      </c>
      <c r="E652" s="11" t="s">
        <v>267</v>
      </c>
      <c r="F652" s="11" t="s">
        <v>268</v>
      </c>
      <c r="G652" s="11" t="s">
        <v>269</v>
      </c>
      <c r="I652" t="s">
        <v>1549</v>
      </c>
      <c r="K652" t="s">
        <v>269</v>
      </c>
      <c r="L652" t="s">
        <v>266</v>
      </c>
      <c r="M652" t="s">
        <v>267</v>
      </c>
      <c r="N652" t="s">
        <v>2459</v>
      </c>
      <c r="O652" t="s">
        <v>2459</v>
      </c>
      <c r="Q652">
        <f t="shared" si="20"/>
        <v>1</v>
      </c>
      <c r="R652">
        <f t="shared" si="21"/>
        <v>1</v>
      </c>
    </row>
    <row r="653" spans="1:18" x14ac:dyDescent="0.35">
      <c r="A653" s="11" t="s">
        <v>82</v>
      </c>
      <c r="B653" s="11" t="s">
        <v>1550</v>
      </c>
      <c r="C653" s="11" t="s">
        <v>1551</v>
      </c>
      <c r="D653" s="11" t="s">
        <v>266</v>
      </c>
      <c r="E653" s="11" t="s">
        <v>267</v>
      </c>
      <c r="F653" s="11" t="s">
        <v>268</v>
      </c>
      <c r="G653" s="11" t="s">
        <v>269</v>
      </c>
      <c r="I653" t="s">
        <v>1551</v>
      </c>
      <c r="K653" t="s">
        <v>269</v>
      </c>
      <c r="L653" t="s">
        <v>266</v>
      </c>
      <c r="M653" t="s">
        <v>267</v>
      </c>
      <c r="N653" t="s">
        <v>2459</v>
      </c>
      <c r="O653" t="s">
        <v>2459</v>
      </c>
      <c r="Q653">
        <f t="shared" si="20"/>
        <v>1</v>
      </c>
      <c r="R653">
        <f t="shared" si="21"/>
        <v>1</v>
      </c>
    </row>
    <row r="654" spans="1:18" x14ac:dyDescent="0.35">
      <c r="A654" s="11" t="s">
        <v>82</v>
      </c>
      <c r="B654" s="11" t="s">
        <v>1552</v>
      </c>
      <c r="C654" s="11" t="s">
        <v>1553</v>
      </c>
      <c r="D654" s="11" t="s">
        <v>266</v>
      </c>
      <c r="E654" s="11" t="s">
        <v>267</v>
      </c>
      <c r="F654" s="11" t="s">
        <v>271</v>
      </c>
      <c r="G654" s="11" t="s">
        <v>272</v>
      </c>
      <c r="I654" s="14" t="s">
        <v>2267</v>
      </c>
      <c r="K654" t="s">
        <v>2267</v>
      </c>
      <c r="M654" t="s">
        <v>2267</v>
      </c>
      <c r="N654" s="14" t="s">
        <v>2267</v>
      </c>
      <c r="O654" s="14" t="s">
        <v>2267</v>
      </c>
      <c r="P654" t="s">
        <v>2250</v>
      </c>
      <c r="Q654" t="e">
        <f t="shared" si="20"/>
        <v>#N/A</v>
      </c>
      <c r="R654" t="e">
        <f t="shared" si="21"/>
        <v>#N/A</v>
      </c>
    </row>
    <row r="655" spans="1:18" x14ac:dyDescent="0.35">
      <c r="A655" s="11"/>
      <c r="B655" s="11"/>
      <c r="C655" s="11"/>
      <c r="D655" s="11"/>
      <c r="E655" s="11"/>
      <c r="F655" s="11"/>
      <c r="G655" s="11"/>
      <c r="I655" t="s">
        <v>2155</v>
      </c>
      <c r="K655" t="s">
        <v>51</v>
      </c>
      <c r="L655" t="s">
        <v>266</v>
      </c>
      <c r="M655" t="s">
        <v>267</v>
      </c>
      <c r="N655" t="s">
        <v>2410</v>
      </c>
      <c r="O655" t="s">
        <v>2459</v>
      </c>
      <c r="P655" t="s">
        <v>2281</v>
      </c>
      <c r="Q655" t="e">
        <f t="shared" si="20"/>
        <v>#N/A</v>
      </c>
      <c r="R655" t="e">
        <f t="shared" si="21"/>
        <v>#N/A</v>
      </c>
    </row>
    <row r="656" spans="1:18" x14ac:dyDescent="0.35">
      <c r="A656" s="11"/>
      <c r="B656" s="11"/>
      <c r="C656" s="11"/>
      <c r="D656" s="11"/>
      <c r="E656" s="11"/>
      <c r="F656" s="11"/>
      <c r="G656" s="11"/>
      <c r="I656" t="s">
        <v>2157</v>
      </c>
      <c r="K656" t="s">
        <v>51</v>
      </c>
      <c r="L656" t="s">
        <v>266</v>
      </c>
      <c r="M656" t="s">
        <v>267</v>
      </c>
      <c r="N656" t="s">
        <v>2410</v>
      </c>
      <c r="O656" t="s">
        <v>2459</v>
      </c>
      <c r="P656" t="s">
        <v>2281</v>
      </c>
      <c r="Q656" t="e">
        <f t="shared" si="20"/>
        <v>#N/A</v>
      </c>
      <c r="R656" t="e">
        <f t="shared" si="21"/>
        <v>#N/A</v>
      </c>
    </row>
    <row r="657" spans="1:18" x14ac:dyDescent="0.35">
      <c r="A657" s="11"/>
      <c r="B657" s="11"/>
      <c r="C657" s="11"/>
      <c r="D657" s="11"/>
      <c r="E657" s="11"/>
      <c r="F657" s="11"/>
      <c r="G657" s="11"/>
      <c r="I657" t="s">
        <v>2158</v>
      </c>
      <c r="K657" t="s">
        <v>51</v>
      </c>
      <c r="L657" t="s">
        <v>266</v>
      </c>
      <c r="M657" t="s">
        <v>267</v>
      </c>
      <c r="N657" t="s">
        <v>2410</v>
      </c>
      <c r="O657" t="s">
        <v>2459</v>
      </c>
      <c r="P657" t="s">
        <v>2281</v>
      </c>
      <c r="Q657" t="e">
        <f t="shared" si="20"/>
        <v>#N/A</v>
      </c>
      <c r="R657" t="e">
        <f t="shared" si="21"/>
        <v>#N/A</v>
      </c>
    </row>
    <row r="658" spans="1:18" x14ac:dyDescent="0.35">
      <c r="A658" s="11"/>
      <c r="B658" s="11"/>
      <c r="C658" s="11"/>
      <c r="D658" s="11"/>
      <c r="E658" s="11"/>
      <c r="F658" s="11"/>
      <c r="G658" s="11"/>
      <c r="I658" t="s">
        <v>2156</v>
      </c>
      <c r="K658" t="s">
        <v>51</v>
      </c>
      <c r="L658" t="s">
        <v>266</v>
      </c>
      <c r="M658" t="s">
        <v>267</v>
      </c>
      <c r="N658" t="s">
        <v>2410</v>
      </c>
      <c r="O658" t="s">
        <v>2459</v>
      </c>
      <c r="P658" t="s">
        <v>2281</v>
      </c>
      <c r="Q658" t="e">
        <f t="shared" si="20"/>
        <v>#N/A</v>
      </c>
      <c r="R658" t="e">
        <f t="shared" si="21"/>
        <v>#N/A</v>
      </c>
    </row>
    <row r="659" spans="1:18" x14ac:dyDescent="0.35">
      <c r="A659" s="11" t="s">
        <v>82</v>
      </c>
      <c r="B659" s="11" t="s">
        <v>1554</v>
      </c>
      <c r="C659" s="11" t="s">
        <v>1555</v>
      </c>
      <c r="D659" s="11" t="s">
        <v>266</v>
      </c>
      <c r="E659" s="11" t="s">
        <v>267</v>
      </c>
      <c r="F659" s="11" t="s">
        <v>271</v>
      </c>
      <c r="G659" s="11" t="s">
        <v>272</v>
      </c>
      <c r="I659" t="s">
        <v>1555</v>
      </c>
      <c r="K659" t="s">
        <v>51</v>
      </c>
      <c r="L659" t="s">
        <v>266</v>
      </c>
      <c r="M659" t="s">
        <v>267</v>
      </c>
      <c r="N659" t="s">
        <v>2410</v>
      </c>
      <c r="O659" t="s">
        <v>2459</v>
      </c>
      <c r="Q659" t="e">
        <f t="shared" si="20"/>
        <v>#N/A</v>
      </c>
      <c r="R659">
        <f t="shared" si="21"/>
        <v>1</v>
      </c>
    </row>
    <row r="660" spans="1:18" x14ac:dyDescent="0.35">
      <c r="A660" s="11" t="s">
        <v>82</v>
      </c>
      <c r="B660" s="11" t="s">
        <v>1556</v>
      </c>
      <c r="C660" s="11" t="s">
        <v>1557</v>
      </c>
      <c r="D660" s="11" t="s">
        <v>266</v>
      </c>
      <c r="E660" s="11" t="s">
        <v>267</v>
      </c>
      <c r="F660" s="11" t="s">
        <v>271</v>
      </c>
      <c r="G660" s="11" t="s">
        <v>272</v>
      </c>
      <c r="I660" t="s">
        <v>1557</v>
      </c>
      <c r="K660" t="s">
        <v>51</v>
      </c>
      <c r="L660" t="s">
        <v>266</v>
      </c>
      <c r="M660" t="s">
        <v>267</v>
      </c>
      <c r="N660" t="s">
        <v>2410</v>
      </c>
      <c r="O660" t="s">
        <v>2459</v>
      </c>
      <c r="Q660" t="e">
        <f t="shared" si="20"/>
        <v>#N/A</v>
      </c>
      <c r="R660">
        <f t="shared" si="21"/>
        <v>1</v>
      </c>
    </row>
    <row r="661" spans="1:18" x14ac:dyDescent="0.35">
      <c r="A661" s="11"/>
      <c r="B661" s="11"/>
      <c r="C661" s="11"/>
      <c r="D661" s="11"/>
      <c r="E661" s="11"/>
      <c r="F661" s="11"/>
      <c r="G661" s="11"/>
      <c r="I661" t="s">
        <v>2154</v>
      </c>
      <c r="K661" t="s">
        <v>272</v>
      </c>
      <c r="L661" t="s">
        <v>266</v>
      </c>
      <c r="M661" t="s">
        <v>267</v>
      </c>
      <c r="P661" t="s">
        <v>2282</v>
      </c>
      <c r="Q661" t="e">
        <f t="shared" si="20"/>
        <v>#N/A</v>
      </c>
      <c r="R661" t="e">
        <f t="shared" si="21"/>
        <v>#N/A</v>
      </c>
    </row>
    <row r="662" spans="1:18" ht="13.5" customHeight="1" x14ac:dyDescent="0.35">
      <c r="A662" s="11"/>
      <c r="B662" s="11"/>
      <c r="C662" s="11"/>
      <c r="D662" s="11"/>
      <c r="E662" s="11"/>
      <c r="F662" s="11"/>
      <c r="G662" s="11"/>
      <c r="I662" t="s">
        <v>2159</v>
      </c>
      <c r="K662" t="s">
        <v>51</v>
      </c>
      <c r="L662" t="s">
        <v>266</v>
      </c>
      <c r="M662" t="s">
        <v>267</v>
      </c>
      <c r="N662" t="s">
        <v>2410</v>
      </c>
      <c r="O662" t="s">
        <v>2459</v>
      </c>
      <c r="P662" t="s">
        <v>2282</v>
      </c>
      <c r="Q662" t="e">
        <f t="shared" si="20"/>
        <v>#N/A</v>
      </c>
      <c r="R662" t="e">
        <f t="shared" si="21"/>
        <v>#N/A</v>
      </c>
    </row>
    <row r="663" spans="1:18" x14ac:dyDescent="0.35">
      <c r="A663" s="11"/>
      <c r="B663" s="11"/>
      <c r="C663" s="11"/>
      <c r="D663" s="11"/>
      <c r="E663" s="11"/>
      <c r="F663" s="11"/>
      <c r="G663" s="11"/>
      <c r="I663" t="s">
        <v>2160</v>
      </c>
      <c r="K663" t="s">
        <v>51</v>
      </c>
      <c r="L663" t="s">
        <v>266</v>
      </c>
      <c r="M663" t="s">
        <v>267</v>
      </c>
      <c r="N663" t="s">
        <v>2410</v>
      </c>
      <c r="O663" t="s">
        <v>2459</v>
      </c>
      <c r="P663" t="s">
        <v>2282</v>
      </c>
      <c r="Q663" t="e">
        <f t="shared" si="20"/>
        <v>#N/A</v>
      </c>
      <c r="R663" t="e">
        <f t="shared" si="21"/>
        <v>#N/A</v>
      </c>
    </row>
    <row r="664" spans="1:18" x14ac:dyDescent="0.35">
      <c r="A664" s="11" t="s">
        <v>82</v>
      </c>
      <c r="B664" s="11" t="s">
        <v>1558</v>
      </c>
      <c r="C664" s="11" t="s">
        <v>272</v>
      </c>
      <c r="D664" s="11" t="s">
        <v>266</v>
      </c>
      <c r="E664" s="11" t="s">
        <v>267</v>
      </c>
      <c r="F664" s="11" t="s">
        <v>271</v>
      </c>
      <c r="G664" s="11" t="s">
        <v>272</v>
      </c>
      <c r="I664" t="s">
        <v>272</v>
      </c>
      <c r="K664" t="s">
        <v>272</v>
      </c>
      <c r="L664" t="s">
        <v>266</v>
      </c>
      <c r="M664" t="s">
        <v>267</v>
      </c>
      <c r="N664" t="s">
        <v>2459</v>
      </c>
      <c r="O664" t="s">
        <v>2459</v>
      </c>
      <c r="Q664">
        <f t="shared" si="20"/>
        <v>1</v>
      </c>
      <c r="R664">
        <f t="shared" si="21"/>
        <v>1</v>
      </c>
    </row>
    <row r="665" spans="1:18" x14ac:dyDescent="0.35">
      <c r="A665" s="11"/>
      <c r="B665" s="11"/>
      <c r="C665" s="11"/>
      <c r="D665" s="11"/>
      <c r="E665" s="11"/>
      <c r="F665" s="11"/>
      <c r="G665" s="11"/>
      <c r="I665" t="s">
        <v>2153</v>
      </c>
      <c r="K665" t="s">
        <v>272</v>
      </c>
      <c r="L665" t="s">
        <v>266</v>
      </c>
      <c r="M665" t="s">
        <v>267</v>
      </c>
      <c r="P665" t="s">
        <v>2283</v>
      </c>
      <c r="Q665" t="e">
        <f t="shared" si="20"/>
        <v>#N/A</v>
      </c>
      <c r="R665" t="e">
        <f t="shared" si="21"/>
        <v>#N/A</v>
      </c>
    </row>
    <row r="666" spans="1:18" x14ac:dyDescent="0.35">
      <c r="A666" s="11" t="s">
        <v>82</v>
      </c>
      <c r="B666" s="11" t="s">
        <v>1559</v>
      </c>
      <c r="C666" s="11" t="s">
        <v>1560</v>
      </c>
      <c r="D666" s="11" t="s">
        <v>266</v>
      </c>
      <c r="E666" s="11" t="s">
        <v>267</v>
      </c>
      <c r="F666" s="11" t="s">
        <v>271</v>
      </c>
      <c r="G666" s="11" t="s">
        <v>272</v>
      </c>
      <c r="I666" t="s">
        <v>1560</v>
      </c>
      <c r="K666" t="s">
        <v>272</v>
      </c>
      <c r="L666" t="s">
        <v>266</v>
      </c>
      <c r="M666" t="s">
        <v>267</v>
      </c>
      <c r="N666" t="s">
        <v>2459</v>
      </c>
      <c r="O666" t="s">
        <v>2459</v>
      </c>
      <c r="Q666">
        <f t="shared" si="20"/>
        <v>1</v>
      </c>
      <c r="R666">
        <f t="shared" si="21"/>
        <v>1</v>
      </c>
    </row>
    <row r="667" spans="1:18" x14ac:dyDescent="0.35">
      <c r="A667" s="11" t="s">
        <v>82</v>
      </c>
      <c r="B667" s="11" t="s">
        <v>1561</v>
      </c>
      <c r="C667" s="11" t="s">
        <v>267</v>
      </c>
      <c r="D667" s="11" t="s">
        <v>266</v>
      </c>
      <c r="E667" s="11" t="s">
        <v>267</v>
      </c>
      <c r="F667" s="11" t="s">
        <v>271</v>
      </c>
      <c r="G667" s="11" t="s">
        <v>272</v>
      </c>
      <c r="I667" t="s">
        <v>267</v>
      </c>
      <c r="K667" t="s">
        <v>51</v>
      </c>
      <c r="L667" t="s">
        <v>266</v>
      </c>
      <c r="M667" t="s">
        <v>267</v>
      </c>
      <c r="N667" t="s">
        <v>2410</v>
      </c>
      <c r="O667" t="s">
        <v>2459</v>
      </c>
      <c r="Q667" t="e">
        <f t="shared" si="20"/>
        <v>#N/A</v>
      </c>
      <c r="R667">
        <f t="shared" si="21"/>
        <v>1</v>
      </c>
    </row>
    <row r="668" spans="1:18" x14ac:dyDescent="0.35">
      <c r="A668" s="11" t="s">
        <v>82</v>
      </c>
      <c r="B668" s="11" t="s">
        <v>1562</v>
      </c>
      <c r="C668" s="11" t="s">
        <v>1563</v>
      </c>
      <c r="D668" s="11" t="s">
        <v>266</v>
      </c>
      <c r="E668" s="11" t="s">
        <v>267</v>
      </c>
      <c r="F668" s="11" t="s">
        <v>271</v>
      </c>
      <c r="G668" s="11" t="s">
        <v>272</v>
      </c>
      <c r="I668" t="s">
        <v>1563</v>
      </c>
      <c r="K668" t="s">
        <v>51</v>
      </c>
      <c r="L668" t="s">
        <v>266</v>
      </c>
      <c r="M668" t="s">
        <v>267</v>
      </c>
      <c r="N668" t="s">
        <v>2410</v>
      </c>
      <c r="O668" t="s">
        <v>2459</v>
      </c>
      <c r="Q668" t="e">
        <f t="shared" si="20"/>
        <v>#N/A</v>
      </c>
      <c r="R668">
        <f t="shared" si="21"/>
        <v>1</v>
      </c>
    </row>
    <row r="669" spans="1:18" x14ac:dyDescent="0.35">
      <c r="A669" s="11" t="s">
        <v>82</v>
      </c>
      <c r="B669" s="11" t="s">
        <v>1564</v>
      </c>
      <c r="C669" s="11" t="s">
        <v>1565</v>
      </c>
      <c r="D669" s="11" t="s">
        <v>266</v>
      </c>
      <c r="E669" s="11" t="s">
        <v>267</v>
      </c>
      <c r="F669" s="11" t="s">
        <v>271</v>
      </c>
      <c r="G669" s="11" t="s">
        <v>272</v>
      </c>
      <c r="I669" t="s">
        <v>1565</v>
      </c>
      <c r="K669" t="s">
        <v>272</v>
      </c>
      <c r="L669" t="s">
        <v>266</v>
      </c>
      <c r="M669" t="s">
        <v>267</v>
      </c>
      <c r="N669" t="s">
        <v>2459</v>
      </c>
      <c r="O669" t="s">
        <v>2459</v>
      </c>
      <c r="Q669">
        <f t="shared" si="20"/>
        <v>1</v>
      </c>
      <c r="R669">
        <f t="shared" si="21"/>
        <v>1</v>
      </c>
    </row>
    <row r="670" spans="1:18" x14ac:dyDescent="0.35">
      <c r="A670" s="11" t="s">
        <v>82</v>
      </c>
      <c r="B670" s="11" t="s">
        <v>1566</v>
      </c>
      <c r="C670" s="11" t="s">
        <v>1567</v>
      </c>
      <c r="D670" s="11" t="s">
        <v>266</v>
      </c>
      <c r="E670" s="11" t="s">
        <v>267</v>
      </c>
      <c r="F670" s="11" t="s">
        <v>271</v>
      </c>
      <c r="G670" s="11" t="s">
        <v>272</v>
      </c>
      <c r="I670" t="s">
        <v>1567</v>
      </c>
      <c r="K670" t="s">
        <v>272</v>
      </c>
      <c r="L670" t="s">
        <v>266</v>
      </c>
      <c r="M670" t="s">
        <v>267</v>
      </c>
      <c r="N670" t="s">
        <v>2459</v>
      </c>
      <c r="O670" t="s">
        <v>2459</v>
      </c>
      <c r="Q670">
        <f t="shared" si="20"/>
        <v>1</v>
      </c>
      <c r="R670">
        <f t="shared" si="21"/>
        <v>1</v>
      </c>
    </row>
    <row r="671" spans="1:18" x14ac:dyDescent="0.35">
      <c r="A671" s="11" t="s">
        <v>82</v>
      </c>
      <c r="B671" s="11" t="s">
        <v>1568</v>
      </c>
      <c r="C671" s="11" t="s">
        <v>1569</v>
      </c>
      <c r="D671" s="11" t="s">
        <v>266</v>
      </c>
      <c r="E671" s="11" t="s">
        <v>267</v>
      </c>
      <c r="F671" s="11" t="s">
        <v>271</v>
      </c>
      <c r="G671" s="11" t="s">
        <v>272</v>
      </c>
      <c r="I671" t="s">
        <v>1569</v>
      </c>
      <c r="K671" t="s">
        <v>51</v>
      </c>
      <c r="L671" t="s">
        <v>266</v>
      </c>
      <c r="M671" t="s">
        <v>267</v>
      </c>
      <c r="N671" t="s">
        <v>2410</v>
      </c>
      <c r="O671" t="s">
        <v>2459</v>
      </c>
      <c r="Q671" t="e">
        <f t="shared" si="20"/>
        <v>#N/A</v>
      </c>
      <c r="R671">
        <f t="shared" si="21"/>
        <v>1</v>
      </c>
    </row>
    <row r="672" spans="1:18" x14ac:dyDescent="0.35">
      <c r="A672" s="11" t="s">
        <v>82</v>
      </c>
      <c r="B672" s="11" t="s">
        <v>1570</v>
      </c>
      <c r="C672" s="11" t="s">
        <v>1571</v>
      </c>
      <c r="D672" s="11" t="s">
        <v>266</v>
      </c>
      <c r="E672" s="11" t="s">
        <v>267</v>
      </c>
      <c r="F672" s="11" t="s">
        <v>271</v>
      </c>
      <c r="G672" s="11" t="s">
        <v>272</v>
      </c>
      <c r="I672" t="s">
        <v>1571</v>
      </c>
      <c r="K672" t="s">
        <v>53</v>
      </c>
      <c r="L672" t="s">
        <v>274</v>
      </c>
      <c r="M672" t="s">
        <v>275</v>
      </c>
      <c r="N672" t="s">
        <v>2410</v>
      </c>
      <c r="O672" t="s">
        <v>2410</v>
      </c>
      <c r="Q672" t="e">
        <f t="shared" si="20"/>
        <v>#N/A</v>
      </c>
      <c r="R672" t="e">
        <f t="shared" si="21"/>
        <v>#N/A</v>
      </c>
    </row>
    <row r="673" spans="1:18" x14ac:dyDescent="0.35">
      <c r="A673" s="11" t="s">
        <v>82</v>
      </c>
      <c r="B673" s="11" t="s">
        <v>1572</v>
      </c>
      <c r="C673" s="11" t="s">
        <v>1573</v>
      </c>
      <c r="D673" s="11" t="s">
        <v>266</v>
      </c>
      <c r="E673" s="11" t="s">
        <v>267</v>
      </c>
      <c r="F673" s="11" t="s">
        <v>271</v>
      </c>
      <c r="G673" s="11" t="s">
        <v>272</v>
      </c>
      <c r="I673" t="s">
        <v>1573</v>
      </c>
      <c r="K673" t="s">
        <v>51</v>
      </c>
      <c r="L673" t="s">
        <v>266</v>
      </c>
      <c r="M673" t="s">
        <v>267</v>
      </c>
      <c r="N673" t="s">
        <v>2410</v>
      </c>
      <c r="O673" t="s">
        <v>2459</v>
      </c>
      <c r="Q673" t="e">
        <f t="shared" si="20"/>
        <v>#N/A</v>
      </c>
      <c r="R673">
        <f t="shared" si="21"/>
        <v>1</v>
      </c>
    </row>
    <row r="674" spans="1:18" x14ac:dyDescent="0.35">
      <c r="A674" s="11" t="s">
        <v>82</v>
      </c>
      <c r="B674" s="11" t="s">
        <v>1574</v>
      </c>
      <c r="C674" s="11" t="s">
        <v>72</v>
      </c>
      <c r="D674" s="11" t="s">
        <v>274</v>
      </c>
      <c r="E674" s="11" t="s">
        <v>275</v>
      </c>
      <c r="F674" s="11" t="s">
        <v>276</v>
      </c>
      <c r="G674" s="11" t="s">
        <v>71</v>
      </c>
      <c r="I674" t="s">
        <v>72</v>
      </c>
      <c r="K674" t="s">
        <v>72</v>
      </c>
      <c r="L674" t="s">
        <v>274</v>
      </c>
      <c r="M674" t="s">
        <v>275</v>
      </c>
      <c r="N674" t="s">
        <v>2459</v>
      </c>
      <c r="O674" t="s">
        <v>2459</v>
      </c>
      <c r="P674" t="s">
        <v>2251</v>
      </c>
      <c r="Q674" t="e">
        <f t="shared" si="20"/>
        <v>#N/A</v>
      </c>
      <c r="R674">
        <f t="shared" si="21"/>
        <v>1</v>
      </c>
    </row>
    <row r="675" spans="1:18" x14ac:dyDescent="0.35">
      <c r="A675" s="11" t="s">
        <v>82</v>
      </c>
      <c r="B675" s="11" t="s">
        <v>1575</v>
      </c>
      <c r="C675" s="11" t="s">
        <v>1576</v>
      </c>
      <c r="D675" s="11" t="s">
        <v>274</v>
      </c>
      <c r="E675" s="11" t="s">
        <v>275</v>
      </c>
      <c r="F675" s="11" t="s">
        <v>276</v>
      </c>
      <c r="G675" s="11" t="s">
        <v>71</v>
      </c>
      <c r="I675" t="s">
        <v>1576</v>
      </c>
      <c r="K675" t="s">
        <v>282</v>
      </c>
      <c r="L675" t="s">
        <v>274</v>
      </c>
      <c r="M675" t="s">
        <v>275</v>
      </c>
      <c r="N675" t="s">
        <v>2410</v>
      </c>
      <c r="O675" t="s">
        <v>2459</v>
      </c>
      <c r="Q675" t="e">
        <f t="shared" si="20"/>
        <v>#N/A</v>
      </c>
      <c r="R675">
        <f t="shared" si="21"/>
        <v>1</v>
      </c>
    </row>
    <row r="676" spans="1:18" x14ac:dyDescent="0.35">
      <c r="A676" s="11"/>
      <c r="B676" s="11"/>
      <c r="C676" s="11"/>
      <c r="D676" s="11"/>
      <c r="E676" s="11"/>
      <c r="F676" s="11"/>
      <c r="G676" s="11"/>
      <c r="I676" t="s">
        <v>2171</v>
      </c>
      <c r="K676" t="s">
        <v>282</v>
      </c>
      <c r="L676" t="s">
        <v>274</v>
      </c>
      <c r="M676" t="s">
        <v>275</v>
      </c>
      <c r="N676" t="s">
        <v>2410</v>
      </c>
      <c r="O676" t="s">
        <v>2459</v>
      </c>
      <c r="P676" t="s">
        <v>2284</v>
      </c>
      <c r="Q676" t="e">
        <f t="shared" si="20"/>
        <v>#N/A</v>
      </c>
      <c r="R676" t="e">
        <f t="shared" si="21"/>
        <v>#N/A</v>
      </c>
    </row>
    <row r="677" spans="1:18" x14ac:dyDescent="0.35">
      <c r="A677" s="11"/>
      <c r="B677" s="11"/>
      <c r="C677" s="11"/>
      <c r="D677" s="11"/>
      <c r="E677" s="11"/>
      <c r="F677" s="11"/>
      <c r="G677" s="11"/>
      <c r="I677" t="s">
        <v>2176</v>
      </c>
      <c r="K677" t="s">
        <v>72</v>
      </c>
      <c r="L677" t="s">
        <v>274</v>
      </c>
      <c r="M677" t="s">
        <v>275</v>
      </c>
      <c r="P677" t="s">
        <v>2284</v>
      </c>
      <c r="Q677" t="e">
        <f t="shared" si="20"/>
        <v>#N/A</v>
      </c>
      <c r="R677" t="e">
        <f t="shared" si="21"/>
        <v>#N/A</v>
      </c>
    </row>
    <row r="678" spans="1:18" x14ac:dyDescent="0.35">
      <c r="A678" s="11"/>
      <c r="B678" s="11"/>
      <c r="C678" s="11"/>
      <c r="D678" s="11"/>
      <c r="E678" s="11"/>
      <c r="F678" s="11"/>
      <c r="G678" s="11"/>
      <c r="I678" t="s">
        <v>2177</v>
      </c>
      <c r="K678" t="s">
        <v>72</v>
      </c>
      <c r="L678" t="s">
        <v>274</v>
      </c>
      <c r="M678" t="s">
        <v>275</v>
      </c>
      <c r="P678" t="s">
        <v>2284</v>
      </c>
      <c r="Q678" t="e">
        <f t="shared" si="20"/>
        <v>#N/A</v>
      </c>
      <c r="R678" t="e">
        <f t="shared" si="21"/>
        <v>#N/A</v>
      </c>
    </row>
    <row r="679" spans="1:18" x14ac:dyDescent="0.35">
      <c r="A679" s="11" t="s">
        <v>82</v>
      </c>
      <c r="B679" s="11" t="s">
        <v>1577</v>
      </c>
      <c r="C679" s="11" t="s">
        <v>71</v>
      </c>
      <c r="D679" s="11" t="s">
        <v>274</v>
      </c>
      <c r="E679" s="11" t="s">
        <v>275</v>
      </c>
      <c r="F679" s="11" t="s">
        <v>276</v>
      </c>
      <c r="G679" s="11" t="s">
        <v>71</v>
      </c>
      <c r="I679" t="s">
        <v>71</v>
      </c>
      <c r="K679" t="s">
        <v>72</v>
      </c>
      <c r="L679" t="s">
        <v>274</v>
      </c>
      <c r="M679" t="s">
        <v>275</v>
      </c>
      <c r="N679" t="s">
        <v>2459</v>
      </c>
      <c r="O679" t="s">
        <v>2459</v>
      </c>
      <c r="P679" t="s">
        <v>2251</v>
      </c>
      <c r="Q679" t="e">
        <f t="shared" si="20"/>
        <v>#N/A</v>
      </c>
      <c r="R679">
        <f t="shared" si="21"/>
        <v>1</v>
      </c>
    </row>
    <row r="680" spans="1:18" x14ac:dyDescent="0.35">
      <c r="A680" s="11" t="s">
        <v>82</v>
      </c>
      <c r="B680" s="11" t="s">
        <v>1578</v>
      </c>
      <c r="C680" s="11" t="s">
        <v>1579</v>
      </c>
      <c r="D680" s="11" t="s">
        <v>274</v>
      </c>
      <c r="E680" s="11" t="s">
        <v>275</v>
      </c>
      <c r="F680" s="11" t="s">
        <v>276</v>
      </c>
      <c r="G680" s="11" t="s">
        <v>71</v>
      </c>
      <c r="I680" t="s">
        <v>1579</v>
      </c>
      <c r="K680" t="s">
        <v>72</v>
      </c>
      <c r="L680" t="s">
        <v>274</v>
      </c>
      <c r="M680" t="s">
        <v>275</v>
      </c>
      <c r="N680" t="s">
        <v>2459</v>
      </c>
      <c r="O680" t="s">
        <v>2459</v>
      </c>
      <c r="P680" t="s">
        <v>2251</v>
      </c>
      <c r="Q680" t="e">
        <f t="shared" si="20"/>
        <v>#N/A</v>
      </c>
      <c r="R680">
        <f t="shared" si="21"/>
        <v>1</v>
      </c>
    </row>
    <row r="681" spans="1:18" x14ac:dyDescent="0.35">
      <c r="A681" s="11" t="s">
        <v>82</v>
      </c>
      <c r="B681" s="11" t="s">
        <v>1580</v>
      </c>
      <c r="C681" s="11" t="s">
        <v>1581</v>
      </c>
      <c r="D681" s="11" t="s">
        <v>274</v>
      </c>
      <c r="E681" s="11" t="s">
        <v>275</v>
      </c>
      <c r="F681" s="11" t="s">
        <v>276</v>
      </c>
      <c r="G681" s="11" t="s">
        <v>71</v>
      </c>
      <c r="I681" t="s">
        <v>1581</v>
      </c>
      <c r="K681" t="s">
        <v>72</v>
      </c>
      <c r="L681" t="s">
        <v>274</v>
      </c>
      <c r="M681" t="s">
        <v>275</v>
      </c>
      <c r="N681" t="s">
        <v>2459</v>
      </c>
      <c r="O681" t="s">
        <v>2459</v>
      </c>
      <c r="P681" t="s">
        <v>2251</v>
      </c>
      <c r="Q681" t="e">
        <f t="shared" si="20"/>
        <v>#N/A</v>
      </c>
      <c r="R681">
        <f t="shared" si="21"/>
        <v>1</v>
      </c>
    </row>
    <row r="682" spans="1:18" x14ac:dyDescent="0.35">
      <c r="A682" s="11" t="s">
        <v>82</v>
      </c>
      <c r="B682" s="11" t="s">
        <v>1582</v>
      </c>
      <c r="C682" s="11" t="s">
        <v>1583</v>
      </c>
      <c r="D682" s="11" t="s">
        <v>274</v>
      </c>
      <c r="E682" s="11" t="s">
        <v>275</v>
      </c>
      <c r="F682" s="11" t="s">
        <v>276</v>
      </c>
      <c r="G682" s="11" t="s">
        <v>71</v>
      </c>
      <c r="I682" t="s">
        <v>1583</v>
      </c>
      <c r="K682" t="s">
        <v>72</v>
      </c>
      <c r="L682" t="s">
        <v>274</v>
      </c>
      <c r="M682" t="s">
        <v>275</v>
      </c>
      <c r="N682" t="s">
        <v>2459</v>
      </c>
      <c r="O682" t="s">
        <v>2459</v>
      </c>
      <c r="P682" t="s">
        <v>2251</v>
      </c>
      <c r="Q682" t="e">
        <f t="shared" si="20"/>
        <v>#N/A</v>
      </c>
      <c r="R682">
        <f t="shared" si="21"/>
        <v>1</v>
      </c>
    </row>
    <row r="683" spans="1:18" x14ac:dyDescent="0.35">
      <c r="A683" s="11" t="s">
        <v>82</v>
      </c>
      <c r="B683" s="11" t="s">
        <v>1584</v>
      </c>
      <c r="C683" s="11" t="s">
        <v>1585</v>
      </c>
      <c r="D683" s="11" t="s">
        <v>274</v>
      </c>
      <c r="E683" s="11" t="s">
        <v>275</v>
      </c>
      <c r="F683" s="11" t="s">
        <v>276</v>
      </c>
      <c r="G683" s="11" t="s">
        <v>71</v>
      </c>
      <c r="I683" t="s">
        <v>1585</v>
      </c>
      <c r="K683" t="s">
        <v>72</v>
      </c>
      <c r="L683" t="s">
        <v>274</v>
      </c>
      <c r="M683" t="s">
        <v>275</v>
      </c>
      <c r="N683" t="s">
        <v>2459</v>
      </c>
      <c r="O683" t="s">
        <v>2459</v>
      </c>
      <c r="P683" t="s">
        <v>2251</v>
      </c>
      <c r="Q683" t="e">
        <f t="shared" si="20"/>
        <v>#N/A</v>
      </c>
      <c r="R683">
        <f t="shared" si="21"/>
        <v>1</v>
      </c>
    </row>
    <row r="684" spans="1:18" x14ac:dyDescent="0.35">
      <c r="A684" s="11" t="s">
        <v>82</v>
      </c>
      <c r="B684" s="11" t="s">
        <v>1586</v>
      </c>
      <c r="C684" s="11" t="s">
        <v>1587</v>
      </c>
      <c r="D684" s="11" t="s">
        <v>274</v>
      </c>
      <c r="E684" s="11" t="s">
        <v>275</v>
      </c>
      <c r="F684" s="11" t="s">
        <v>276</v>
      </c>
      <c r="G684" s="11" t="s">
        <v>71</v>
      </c>
      <c r="I684" t="s">
        <v>1587</v>
      </c>
      <c r="K684" t="s">
        <v>72</v>
      </c>
      <c r="L684" t="s">
        <v>274</v>
      </c>
      <c r="M684" t="s">
        <v>275</v>
      </c>
      <c r="N684" t="s">
        <v>2459</v>
      </c>
      <c r="O684" t="s">
        <v>2459</v>
      </c>
      <c r="P684" t="s">
        <v>2251</v>
      </c>
      <c r="Q684" t="e">
        <f t="shared" si="20"/>
        <v>#N/A</v>
      </c>
      <c r="R684">
        <f t="shared" si="21"/>
        <v>1</v>
      </c>
    </row>
    <row r="685" spans="1:18" x14ac:dyDescent="0.35">
      <c r="A685" s="11" t="s">
        <v>82</v>
      </c>
      <c r="B685" s="11" t="s">
        <v>1588</v>
      </c>
      <c r="C685" s="11" t="s">
        <v>1589</v>
      </c>
      <c r="D685" s="11" t="s">
        <v>274</v>
      </c>
      <c r="E685" s="11" t="s">
        <v>275</v>
      </c>
      <c r="F685" s="11" t="s">
        <v>276</v>
      </c>
      <c r="G685" s="11" t="s">
        <v>71</v>
      </c>
      <c r="I685" t="s">
        <v>1589</v>
      </c>
      <c r="K685" t="s">
        <v>72</v>
      </c>
      <c r="L685" t="s">
        <v>274</v>
      </c>
      <c r="M685" t="s">
        <v>275</v>
      </c>
      <c r="N685" t="s">
        <v>2459</v>
      </c>
      <c r="O685" t="s">
        <v>2459</v>
      </c>
      <c r="P685" t="s">
        <v>2251</v>
      </c>
      <c r="Q685" t="e">
        <f t="shared" si="20"/>
        <v>#N/A</v>
      </c>
      <c r="R685">
        <f t="shared" si="21"/>
        <v>1</v>
      </c>
    </row>
    <row r="686" spans="1:18" x14ac:dyDescent="0.35">
      <c r="A686" s="11" t="s">
        <v>82</v>
      </c>
      <c r="B686" s="11" t="s">
        <v>1590</v>
      </c>
      <c r="C686" s="11" t="s">
        <v>1591</v>
      </c>
      <c r="D686" s="11" t="s">
        <v>274</v>
      </c>
      <c r="E686" s="11" t="s">
        <v>275</v>
      </c>
      <c r="F686" s="11" t="s">
        <v>276</v>
      </c>
      <c r="G686" s="11" t="s">
        <v>71</v>
      </c>
      <c r="I686" t="s">
        <v>1591</v>
      </c>
      <c r="K686" t="s">
        <v>72</v>
      </c>
      <c r="L686" t="s">
        <v>274</v>
      </c>
      <c r="M686" t="s">
        <v>275</v>
      </c>
      <c r="N686" t="s">
        <v>2459</v>
      </c>
      <c r="O686" t="s">
        <v>2459</v>
      </c>
      <c r="P686" t="s">
        <v>2251</v>
      </c>
      <c r="Q686" t="e">
        <f t="shared" si="20"/>
        <v>#N/A</v>
      </c>
      <c r="R686">
        <f t="shared" si="21"/>
        <v>1</v>
      </c>
    </row>
    <row r="687" spans="1:18" x14ac:dyDescent="0.35">
      <c r="A687" s="11" t="s">
        <v>82</v>
      </c>
      <c r="B687" s="11" t="s">
        <v>1592</v>
      </c>
      <c r="C687" s="11" t="s">
        <v>1593</v>
      </c>
      <c r="D687" s="11" t="s">
        <v>274</v>
      </c>
      <c r="E687" s="11" t="s">
        <v>275</v>
      </c>
      <c r="F687" s="11" t="s">
        <v>276</v>
      </c>
      <c r="G687" s="11" t="s">
        <v>71</v>
      </c>
      <c r="I687" t="s">
        <v>1593</v>
      </c>
      <c r="K687" t="s">
        <v>72</v>
      </c>
      <c r="L687" t="s">
        <v>274</v>
      </c>
      <c r="M687" t="s">
        <v>275</v>
      </c>
      <c r="N687" t="s">
        <v>2459</v>
      </c>
      <c r="O687" t="s">
        <v>2459</v>
      </c>
      <c r="P687" t="s">
        <v>2251</v>
      </c>
      <c r="Q687" t="e">
        <f t="shared" si="20"/>
        <v>#N/A</v>
      </c>
      <c r="R687">
        <f t="shared" si="21"/>
        <v>1</v>
      </c>
    </row>
    <row r="688" spans="1:18" x14ac:dyDescent="0.35">
      <c r="A688" s="11" t="s">
        <v>82</v>
      </c>
      <c r="B688" s="11" t="s">
        <v>1594</v>
      </c>
      <c r="C688" s="11" t="s">
        <v>1595</v>
      </c>
      <c r="D688" s="11" t="s">
        <v>274</v>
      </c>
      <c r="E688" s="11" t="s">
        <v>275</v>
      </c>
      <c r="F688" s="11" t="s">
        <v>276</v>
      </c>
      <c r="G688" s="11" t="s">
        <v>71</v>
      </c>
      <c r="I688" t="s">
        <v>1595</v>
      </c>
      <c r="K688" t="s">
        <v>72</v>
      </c>
      <c r="L688" t="s">
        <v>274</v>
      </c>
      <c r="M688" t="s">
        <v>275</v>
      </c>
      <c r="N688" t="s">
        <v>2459</v>
      </c>
      <c r="O688" t="s">
        <v>2459</v>
      </c>
      <c r="P688" t="s">
        <v>2251</v>
      </c>
      <c r="Q688" t="e">
        <f t="shared" si="20"/>
        <v>#N/A</v>
      </c>
      <c r="R688">
        <f t="shared" si="21"/>
        <v>1</v>
      </c>
    </row>
    <row r="689" spans="1:18" x14ac:dyDescent="0.35">
      <c r="A689" s="11" t="s">
        <v>82</v>
      </c>
      <c r="B689" s="11" t="s">
        <v>1596</v>
      </c>
      <c r="C689" s="11" t="s">
        <v>1597</v>
      </c>
      <c r="D689" s="11" t="s">
        <v>274</v>
      </c>
      <c r="E689" s="11" t="s">
        <v>275</v>
      </c>
      <c r="F689" s="11" t="s">
        <v>276</v>
      </c>
      <c r="G689" s="11" t="s">
        <v>71</v>
      </c>
      <c r="I689" t="s">
        <v>1597</v>
      </c>
      <c r="K689" t="s">
        <v>51</v>
      </c>
      <c r="L689" t="s">
        <v>266</v>
      </c>
      <c r="M689" t="s">
        <v>267</v>
      </c>
      <c r="N689" t="s">
        <v>2410</v>
      </c>
      <c r="O689" t="s">
        <v>2410</v>
      </c>
      <c r="Q689" t="e">
        <f t="shared" si="20"/>
        <v>#N/A</v>
      </c>
      <c r="R689" t="e">
        <f t="shared" si="21"/>
        <v>#N/A</v>
      </c>
    </row>
    <row r="690" spans="1:18" x14ac:dyDescent="0.35">
      <c r="A690" s="11" t="s">
        <v>82</v>
      </c>
      <c r="B690" s="11" t="s">
        <v>1598</v>
      </c>
      <c r="C690" s="11" t="s">
        <v>1599</v>
      </c>
      <c r="D690" s="11" t="s">
        <v>274</v>
      </c>
      <c r="E690" s="11" t="s">
        <v>275</v>
      </c>
      <c r="F690" s="11" t="s">
        <v>278</v>
      </c>
      <c r="G690" s="11" t="s">
        <v>279</v>
      </c>
      <c r="I690" t="s">
        <v>1599</v>
      </c>
      <c r="K690" t="s">
        <v>279</v>
      </c>
      <c r="L690" t="s">
        <v>274</v>
      </c>
      <c r="M690" t="s">
        <v>275</v>
      </c>
      <c r="N690" t="s">
        <v>2459</v>
      </c>
      <c r="O690" t="s">
        <v>2459</v>
      </c>
      <c r="Q690">
        <f t="shared" si="20"/>
        <v>1</v>
      </c>
      <c r="R690">
        <f t="shared" si="21"/>
        <v>1</v>
      </c>
    </row>
    <row r="691" spans="1:18" x14ac:dyDescent="0.35">
      <c r="A691" s="11" t="s">
        <v>82</v>
      </c>
      <c r="B691" s="11" t="s">
        <v>1600</v>
      </c>
      <c r="C691" s="11" t="s">
        <v>279</v>
      </c>
      <c r="D691" s="11" t="s">
        <v>274</v>
      </c>
      <c r="E691" s="11" t="s">
        <v>275</v>
      </c>
      <c r="F691" s="11" t="s">
        <v>278</v>
      </c>
      <c r="G691" s="11" t="s">
        <v>279</v>
      </c>
      <c r="I691" t="s">
        <v>279</v>
      </c>
      <c r="K691" t="s">
        <v>279</v>
      </c>
      <c r="L691" t="s">
        <v>274</v>
      </c>
      <c r="M691" t="s">
        <v>275</v>
      </c>
      <c r="N691" t="s">
        <v>2459</v>
      </c>
      <c r="O691" t="s">
        <v>2459</v>
      </c>
      <c r="Q691">
        <f t="shared" si="20"/>
        <v>1</v>
      </c>
      <c r="R691">
        <f t="shared" si="21"/>
        <v>1</v>
      </c>
    </row>
    <row r="692" spans="1:18" x14ac:dyDescent="0.35">
      <c r="A692" s="11"/>
      <c r="B692" s="11"/>
      <c r="C692" s="11"/>
      <c r="D692" s="11"/>
      <c r="E692" s="11"/>
      <c r="F692" s="11"/>
      <c r="G692" s="11"/>
      <c r="I692" t="s">
        <v>2165</v>
      </c>
      <c r="K692" t="s">
        <v>52</v>
      </c>
      <c r="L692" t="s">
        <v>274</v>
      </c>
      <c r="M692" t="s">
        <v>275</v>
      </c>
      <c r="N692" t="s">
        <v>2410</v>
      </c>
      <c r="O692" t="s">
        <v>2459</v>
      </c>
      <c r="P692" t="s">
        <v>2285</v>
      </c>
      <c r="Q692" t="e">
        <f t="shared" si="20"/>
        <v>#N/A</v>
      </c>
      <c r="R692" t="e">
        <f t="shared" si="21"/>
        <v>#N/A</v>
      </c>
    </row>
    <row r="693" spans="1:18" x14ac:dyDescent="0.35">
      <c r="A693" s="11" t="s">
        <v>82</v>
      </c>
      <c r="B693" s="11" t="s">
        <v>1601</v>
      </c>
      <c r="C693" s="11" t="s">
        <v>52</v>
      </c>
      <c r="D693" s="11" t="s">
        <v>274</v>
      </c>
      <c r="E693" s="11" t="s">
        <v>275</v>
      </c>
      <c r="F693" s="11" t="s">
        <v>278</v>
      </c>
      <c r="G693" s="11" t="s">
        <v>279</v>
      </c>
      <c r="I693" t="s">
        <v>52</v>
      </c>
      <c r="K693" t="s">
        <v>52</v>
      </c>
      <c r="L693" t="s">
        <v>274</v>
      </c>
      <c r="M693" t="s">
        <v>275</v>
      </c>
      <c r="N693" t="s">
        <v>2410</v>
      </c>
      <c r="O693" t="s">
        <v>2459</v>
      </c>
      <c r="Q693" t="e">
        <f t="shared" si="20"/>
        <v>#N/A</v>
      </c>
      <c r="R693">
        <f t="shared" si="21"/>
        <v>1</v>
      </c>
    </row>
    <row r="694" spans="1:18" x14ac:dyDescent="0.35">
      <c r="A694" s="11" t="s">
        <v>82</v>
      </c>
      <c r="B694" s="11" t="s">
        <v>1602</v>
      </c>
      <c r="C694" s="11" t="s">
        <v>1603</v>
      </c>
      <c r="D694" s="11" t="s">
        <v>274</v>
      </c>
      <c r="E694" s="11" t="s">
        <v>275</v>
      </c>
      <c r="F694" s="11" t="s">
        <v>278</v>
      </c>
      <c r="G694" s="11" t="s">
        <v>279</v>
      </c>
      <c r="I694" t="s">
        <v>1603</v>
      </c>
      <c r="K694" t="s">
        <v>52</v>
      </c>
      <c r="L694" t="s">
        <v>274</v>
      </c>
      <c r="M694" t="s">
        <v>275</v>
      </c>
      <c r="N694" t="s">
        <v>2410</v>
      </c>
      <c r="O694" t="s">
        <v>2459</v>
      </c>
      <c r="Q694" t="e">
        <f t="shared" si="20"/>
        <v>#N/A</v>
      </c>
      <c r="R694">
        <f t="shared" si="21"/>
        <v>1</v>
      </c>
    </row>
    <row r="695" spans="1:18" x14ac:dyDescent="0.35">
      <c r="A695" s="11" t="s">
        <v>82</v>
      </c>
      <c r="B695" s="11" t="s">
        <v>1604</v>
      </c>
      <c r="C695" s="11" t="s">
        <v>1605</v>
      </c>
      <c r="D695" s="11" t="s">
        <v>274</v>
      </c>
      <c r="E695" s="11" t="s">
        <v>275</v>
      </c>
      <c r="F695" s="11" t="s">
        <v>278</v>
      </c>
      <c r="G695" s="11" t="s">
        <v>279</v>
      </c>
      <c r="I695" t="s">
        <v>1605</v>
      </c>
      <c r="K695" t="s">
        <v>52</v>
      </c>
      <c r="L695" t="s">
        <v>274</v>
      </c>
      <c r="M695" t="s">
        <v>275</v>
      </c>
      <c r="N695" t="s">
        <v>2410</v>
      </c>
      <c r="O695" t="s">
        <v>2459</v>
      </c>
      <c r="Q695" t="e">
        <f t="shared" si="20"/>
        <v>#N/A</v>
      </c>
      <c r="R695">
        <f t="shared" si="21"/>
        <v>1</v>
      </c>
    </row>
    <row r="696" spans="1:18" x14ac:dyDescent="0.35">
      <c r="A696" s="11" t="s">
        <v>82</v>
      </c>
      <c r="B696" s="11" t="s">
        <v>1606</v>
      </c>
      <c r="C696" s="11" t="s">
        <v>1607</v>
      </c>
      <c r="D696" s="11" t="s">
        <v>274</v>
      </c>
      <c r="E696" s="11" t="s">
        <v>275</v>
      </c>
      <c r="F696" s="11" t="s">
        <v>278</v>
      </c>
      <c r="G696" s="11" t="s">
        <v>279</v>
      </c>
      <c r="I696" t="s">
        <v>1607</v>
      </c>
      <c r="K696" t="s">
        <v>52</v>
      </c>
      <c r="L696" t="s">
        <v>274</v>
      </c>
      <c r="M696" t="s">
        <v>275</v>
      </c>
      <c r="N696" t="s">
        <v>2410</v>
      </c>
      <c r="O696" t="s">
        <v>2459</v>
      </c>
      <c r="Q696" t="e">
        <f t="shared" si="20"/>
        <v>#N/A</v>
      </c>
      <c r="R696">
        <f t="shared" si="21"/>
        <v>1</v>
      </c>
    </row>
    <row r="697" spans="1:18" x14ac:dyDescent="0.35">
      <c r="A697" s="11"/>
      <c r="B697" s="11"/>
      <c r="C697" s="11"/>
      <c r="D697" s="11"/>
      <c r="E697" s="11"/>
      <c r="F697" s="11"/>
      <c r="G697" s="11"/>
      <c r="I697" t="s">
        <v>2161</v>
      </c>
      <c r="K697" t="s">
        <v>279</v>
      </c>
      <c r="L697" t="s">
        <v>274</v>
      </c>
      <c r="M697" t="s">
        <v>275</v>
      </c>
      <c r="P697" t="s">
        <v>2286</v>
      </c>
      <c r="Q697" t="e">
        <f t="shared" si="20"/>
        <v>#N/A</v>
      </c>
      <c r="R697" t="e">
        <f t="shared" si="21"/>
        <v>#N/A</v>
      </c>
    </row>
    <row r="698" spans="1:18" x14ac:dyDescent="0.35">
      <c r="A698" s="11"/>
      <c r="B698" s="11"/>
      <c r="C698" s="11"/>
      <c r="D698" s="11"/>
      <c r="E698" s="11"/>
      <c r="F698" s="11"/>
      <c r="G698" s="11"/>
      <c r="I698" t="s">
        <v>2162</v>
      </c>
      <c r="K698" t="s">
        <v>279</v>
      </c>
      <c r="L698" t="s">
        <v>274</v>
      </c>
      <c r="M698" t="s">
        <v>275</v>
      </c>
      <c r="P698" t="s">
        <v>2286</v>
      </c>
      <c r="Q698" t="e">
        <f t="shared" si="20"/>
        <v>#N/A</v>
      </c>
      <c r="R698" t="e">
        <f t="shared" si="21"/>
        <v>#N/A</v>
      </c>
    </row>
    <row r="699" spans="1:18" x14ac:dyDescent="0.35">
      <c r="A699" s="11" t="s">
        <v>82</v>
      </c>
      <c r="B699" s="11" t="s">
        <v>1608</v>
      </c>
      <c r="C699" s="11" t="s">
        <v>1609</v>
      </c>
      <c r="D699" s="11" t="s">
        <v>274</v>
      </c>
      <c r="E699" s="11" t="s">
        <v>275</v>
      </c>
      <c r="F699" s="11" t="s">
        <v>278</v>
      </c>
      <c r="G699" s="11" t="s">
        <v>279</v>
      </c>
      <c r="I699" t="s">
        <v>1609</v>
      </c>
      <c r="K699" t="s">
        <v>279</v>
      </c>
      <c r="L699" t="s">
        <v>274</v>
      </c>
      <c r="M699" t="s">
        <v>275</v>
      </c>
      <c r="N699" t="s">
        <v>2459</v>
      </c>
      <c r="O699" t="s">
        <v>2459</v>
      </c>
      <c r="Q699">
        <f t="shared" si="20"/>
        <v>1</v>
      </c>
      <c r="R699">
        <f t="shared" si="21"/>
        <v>1</v>
      </c>
    </row>
    <row r="700" spans="1:18" x14ac:dyDescent="0.35">
      <c r="A700" s="11" t="s">
        <v>82</v>
      </c>
      <c r="B700" s="11" t="s">
        <v>1610</v>
      </c>
      <c r="C700" s="11" t="s">
        <v>1611</v>
      </c>
      <c r="D700" s="11" t="s">
        <v>274</v>
      </c>
      <c r="E700" s="11" t="s">
        <v>275</v>
      </c>
      <c r="F700" s="11" t="s">
        <v>278</v>
      </c>
      <c r="G700" s="11" t="s">
        <v>279</v>
      </c>
      <c r="I700" t="s">
        <v>1611</v>
      </c>
      <c r="K700" t="s">
        <v>279</v>
      </c>
      <c r="L700" t="s">
        <v>274</v>
      </c>
      <c r="M700" t="s">
        <v>275</v>
      </c>
      <c r="N700" t="s">
        <v>2459</v>
      </c>
      <c r="O700" t="s">
        <v>2459</v>
      </c>
      <c r="Q700">
        <f t="shared" si="20"/>
        <v>1</v>
      </c>
      <c r="R700">
        <f t="shared" si="21"/>
        <v>1</v>
      </c>
    </row>
    <row r="701" spans="1:18" x14ac:dyDescent="0.35">
      <c r="A701" s="11" t="s">
        <v>82</v>
      </c>
      <c r="B701" s="11" t="s">
        <v>1612</v>
      </c>
      <c r="C701" s="11" t="s">
        <v>1613</v>
      </c>
      <c r="D701" s="11" t="s">
        <v>274</v>
      </c>
      <c r="E701" s="11" t="s">
        <v>275</v>
      </c>
      <c r="F701" s="11" t="s">
        <v>278</v>
      </c>
      <c r="G701" s="11" t="s">
        <v>279</v>
      </c>
      <c r="I701" t="s">
        <v>1613</v>
      </c>
      <c r="K701" t="s">
        <v>279</v>
      </c>
      <c r="L701" t="s">
        <v>274</v>
      </c>
      <c r="M701" t="s">
        <v>275</v>
      </c>
      <c r="N701" t="s">
        <v>2459</v>
      </c>
      <c r="O701" t="s">
        <v>2459</v>
      </c>
      <c r="Q701">
        <f t="shared" si="20"/>
        <v>1</v>
      </c>
      <c r="R701">
        <f t="shared" si="21"/>
        <v>1</v>
      </c>
    </row>
    <row r="702" spans="1:18" x14ac:dyDescent="0.35">
      <c r="A702" s="11" t="s">
        <v>82</v>
      </c>
      <c r="B702" s="11" t="s">
        <v>1614</v>
      </c>
      <c r="C702" s="11" t="s">
        <v>1615</v>
      </c>
      <c r="D702" s="11" t="s">
        <v>274</v>
      </c>
      <c r="E702" s="11" t="s">
        <v>275</v>
      </c>
      <c r="F702" s="11" t="s">
        <v>278</v>
      </c>
      <c r="G702" s="11" t="s">
        <v>279</v>
      </c>
      <c r="I702" t="s">
        <v>1615</v>
      </c>
      <c r="K702" t="s">
        <v>52</v>
      </c>
      <c r="L702" t="s">
        <v>274</v>
      </c>
      <c r="M702" t="s">
        <v>275</v>
      </c>
      <c r="N702" t="s">
        <v>2410</v>
      </c>
      <c r="O702" t="s">
        <v>2459</v>
      </c>
      <c r="Q702" t="e">
        <f t="shared" si="20"/>
        <v>#N/A</v>
      </c>
      <c r="R702">
        <f t="shared" si="21"/>
        <v>1</v>
      </c>
    </row>
    <row r="703" spans="1:18" x14ac:dyDescent="0.35">
      <c r="A703" s="11" t="s">
        <v>82</v>
      </c>
      <c r="B703" s="11" t="s">
        <v>1616</v>
      </c>
      <c r="C703" s="11" t="s">
        <v>1617</v>
      </c>
      <c r="D703" s="11" t="s">
        <v>274</v>
      </c>
      <c r="E703" s="11" t="s">
        <v>275</v>
      </c>
      <c r="F703" s="11" t="s">
        <v>278</v>
      </c>
      <c r="G703" s="11" t="s">
        <v>279</v>
      </c>
      <c r="I703" t="s">
        <v>1617</v>
      </c>
      <c r="K703" t="s">
        <v>279</v>
      </c>
      <c r="L703" t="s">
        <v>274</v>
      </c>
      <c r="M703" t="s">
        <v>275</v>
      </c>
      <c r="N703" t="s">
        <v>2459</v>
      </c>
      <c r="O703" t="s">
        <v>2459</v>
      </c>
      <c r="Q703">
        <f t="shared" si="20"/>
        <v>1</v>
      </c>
      <c r="R703">
        <f t="shared" si="21"/>
        <v>1</v>
      </c>
    </row>
    <row r="704" spans="1:18" x14ac:dyDescent="0.35">
      <c r="A704" s="11"/>
      <c r="B704" s="11"/>
      <c r="C704" s="11"/>
      <c r="D704" s="11"/>
      <c r="E704" s="11"/>
      <c r="F704" s="11"/>
      <c r="G704" s="11"/>
      <c r="I704" t="s">
        <v>2164</v>
      </c>
      <c r="K704" t="s">
        <v>52</v>
      </c>
      <c r="L704" t="s">
        <v>274</v>
      </c>
      <c r="M704" t="s">
        <v>275</v>
      </c>
      <c r="N704" t="s">
        <v>2410</v>
      </c>
      <c r="O704" t="s">
        <v>2459</v>
      </c>
      <c r="P704" t="s">
        <v>2287</v>
      </c>
      <c r="Q704" t="e">
        <f t="shared" si="20"/>
        <v>#N/A</v>
      </c>
      <c r="R704" t="e">
        <f t="shared" si="21"/>
        <v>#N/A</v>
      </c>
    </row>
    <row r="705" spans="1:18" x14ac:dyDescent="0.35">
      <c r="A705" s="11" t="s">
        <v>82</v>
      </c>
      <c r="B705" s="11" t="s">
        <v>1618</v>
      </c>
      <c r="C705" s="11" t="s">
        <v>1619</v>
      </c>
      <c r="D705" s="11" t="s">
        <v>274</v>
      </c>
      <c r="E705" s="11" t="s">
        <v>275</v>
      </c>
      <c r="F705" s="11" t="s">
        <v>281</v>
      </c>
      <c r="G705" s="11" t="s">
        <v>282</v>
      </c>
      <c r="I705" t="s">
        <v>1619</v>
      </c>
      <c r="K705" t="s">
        <v>282</v>
      </c>
      <c r="L705" t="s">
        <v>274</v>
      </c>
      <c r="M705" t="s">
        <v>275</v>
      </c>
      <c r="N705" t="s">
        <v>2459</v>
      </c>
      <c r="O705" t="s">
        <v>2459</v>
      </c>
      <c r="Q705">
        <f t="shared" si="20"/>
        <v>1</v>
      </c>
      <c r="R705">
        <f t="shared" si="21"/>
        <v>1</v>
      </c>
    </row>
    <row r="706" spans="1:18" x14ac:dyDescent="0.35">
      <c r="A706" s="11" t="s">
        <v>82</v>
      </c>
      <c r="B706" s="11" t="s">
        <v>1620</v>
      </c>
      <c r="C706" s="11" t="s">
        <v>1621</v>
      </c>
      <c r="D706" s="11" t="s">
        <v>274</v>
      </c>
      <c r="E706" s="11" t="s">
        <v>275</v>
      </c>
      <c r="F706" s="11" t="s">
        <v>281</v>
      </c>
      <c r="G706" s="11" t="s">
        <v>282</v>
      </c>
      <c r="I706" t="s">
        <v>1621</v>
      </c>
      <c r="K706" t="s">
        <v>53</v>
      </c>
      <c r="L706" t="s">
        <v>274</v>
      </c>
      <c r="M706" t="s">
        <v>275</v>
      </c>
      <c r="N706" t="s">
        <v>2410</v>
      </c>
      <c r="O706" t="s">
        <v>2459</v>
      </c>
      <c r="Q706" t="e">
        <f t="shared" si="20"/>
        <v>#N/A</v>
      </c>
      <c r="R706">
        <f t="shared" si="21"/>
        <v>1</v>
      </c>
    </row>
    <row r="707" spans="1:18" x14ac:dyDescent="0.35">
      <c r="A707" s="11" t="s">
        <v>82</v>
      </c>
      <c r="B707" s="11" t="s">
        <v>1622</v>
      </c>
      <c r="C707" s="11" t="s">
        <v>1623</v>
      </c>
      <c r="D707" s="11" t="s">
        <v>274</v>
      </c>
      <c r="E707" s="11" t="s">
        <v>275</v>
      </c>
      <c r="F707" s="11" t="s">
        <v>281</v>
      </c>
      <c r="G707" s="11" t="s">
        <v>282</v>
      </c>
      <c r="I707" t="s">
        <v>1623</v>
      </c>
      <c r="K707" t="s">
        <v>282</v>
      </c>
      <c r="L707" t="s">
        <v>274</v>
      </c>
      <c r="M707" t="s">
        <v>275</v>
      </c>
      <c r="N707" t="s">
        <v>2459</v>
      </c>
      <c r="O707" t="s">
        <v>2459</v>
      </c>
      <c r="Q707">
        <f t="shared" ref="Q707:Q770" si="22">MATCH(G707,K707,0)</f>
        <v>1</v>
      </c>
      <c r="R707">
        <f t="shared" ref="R707:R770" si="23">MATCH(E707,M707,0)</f>
        <v>1</v>
      </c>
    </row>
    <row r="708" spans="1:18" x14ac:dyDescent="0.35">
      <c r="A708" s="11" t="s">
        <v>82</v>
      </c>
      <c r="B708" s="11" t="s">
        <v>1624</v>
      </c>
      <c r="C708" s="11" t="s">
        <v>1625</v>
      </c>
      <c r="D708" s="11" t="s">
        <v>274</v>
      </c>
      <c r="E708" s="11" t="s">
        <v>275</v>
      </c>
      <c r="F708" s="11" t="s">
        <v>281</v>
      </c>
      <c r="G708" s="11" t="s">
        <v>282</v>
      </c>
      <c r="I708" t="s">
        <v>1625</v>
      </c>
      <c r="K708" t="s">
        <v>282</v>
      </c>
      <c r="L708" t="s">
        <v>274</v>
      </c>
      <c r="M708" t="s">
        <v>275</v>
      </c>
      <c r="N708" t="s">
        <v>2459</v>
      </c>
      <c r="O708" t="s">
        <v>2459</v>
      </c>
      <c r="Q708">
        <f t="shared" si="22"/>
        <v>1</v>
      </c>
      <c r="R708">
        <f t="shared" si="23"/>
        <v>1</v>
      </c>
    </row>
    <row r="709" spans="1:18" x14ac:dyDescent="0.35">
      <c r="A709" s="11"/>
      <c r="B709" s="11"/>
      <c r="C709" s="11"/>
      <c r="D709" s="11"/>
      <c r="E709" s="11"/>
      <c r="F709" s="11"/>
      <c r="G709" s="11"/>
      <c r="I709" t="s">
        <v>2167</v>
      </c>
      <c r="K709" t="s">
        <v>282</v>
      </c>
      <c r="L709" t="s">
        <v>274</v>
      </c>
      <c r="M709" t="s">
        <v>275</v>
      </c>
      <c r="P709" t="s">
        <v>2288</v>
      </c>
      <c r="Q709" t="e">
        <f t="shared" si="22"/>
        <v>#N/A</v>
      </c>
      <c r="R709" t="e">
        <f t="shared" si="23"/>
        <v>#N/A</v>
      </c>
    </row>
    <row r="710" spans="1:18" x14ac:dyDescent="0.35">
      <c r="A710" s="11" t="s">
        <v>82</v>
      </c>
      <c r="B710" s="11" t="s">
        <v>1626</v>
      </c>
      <c r="C710" s="11" t="s">
        <v>1627</v>
      </c>
      <c r="D710" s="11" t="s">
        <v>274</v>
      </c>
      <c r="E710" s="11" t="s">
        <v>275</v>
      </c>
      <c r="F710" s="11" t="s">
        <v>281</v>
      </c>
      <c r="G710" s="11" t="s">
        <v>282</v>
      </c>
      <c r="I710" s="14" t="s">
        <v>2267</v>
      </c>
      <c r="K710" t="s">
        <v>2267</v>
      </c>
      <c r="M710" t="s">
        <v>2267</v>
      </c>
      <c r="N710" s="14" t="s">
        <v>2267</v>
      </c>
      <c r="O710" s="14" t="s">
        <v>2267</v>
      </c>
      <c r="P710" t="s">
        <v>2243</v>
      </c>
      <c r="Q710" t="e">
        <f t="shared" si="22"/>
        <v>#N/A</v>
      </c>
      <c r="R710" t="e">
        <f t="shared" si="23"/>
        <v>#N/A</v>
      </c>
    </row>
    <row r="711" spans="1:18" x14ac:dyDescent="0.35">
      <c r="A711" s="11"/>
      <c r="B711" s="11"/>
      <c r="C711" s="11"/>
      <c r="D711" s="11"/>
      <c r="E711" s="11"/>
      <c r="F711" s="11"/>
      <c r="G711" s="11"/>
      <c r="I711" t="s">
        <v>2168</v>
      </c>
      <c r="K711" t="s">
        <v>282</v>
      </c>
      <c r="L711" t="s">
        <v>274</v>
      </c>
      <c r="M711" t="s">
        <v>275</v>
      </c>
      <c r="P711" t="s">
        <v>2289</v>
      </c>
      <c r="Q711" t="e">
        <f t="shared" si="22"/>
        <v>#N/A</v>
      </c>
      <c r="R711" t="e">
        <f t="shared" si="23"/>
        <v>#N/A</v>
      </c>
    </row>
    <row r="712" spans="1:18" x14ac:dyDescent="0.35">
      <c r="A712" s="11"/>
      <c r="B712" s="11"/>
      <c r="C712" s="11"/>
      <c r="D712" s="11"/>
      <c r="E712" s="11"/>
      <c r="F712" s="11"/>
      <c r="G712" s="11"/>
      <c r="I712" t="s">
        <v>2169</v>
      </c>
      <c r="K712" t="s">
        <v>282</v>
      </c>
      <c r="L712" t="s">
        <v>274</v>
      </c>
      <c r="M712" t="s">
        <v>275</v>
      </c>
      <c r="P712" t="s">
        <v>2289</v>
      </c>
      <c r="Q712" t="e">
        <f t="shared" si="22"/>
        <v>#N/A</v>
      </c>
      <c r="R712" t="e">
        <f t="shared" si="23"/>
        <v>#N/A</v>
      </c>
    </row>
    <row r="713" spans="1:18" x14ac:dyDescent="0.35">
      <c r="A713" s="11"/>
      <c r="B713" s="11"/>
      <c r="C713" s="11"/>
      <c r="D713" s="11"/>
      <c r="E713" s="11"/>
      <c r="F713" s="11"/>
      <c r="G713" s="11"/>
      <c r="I713" t="s">
        <v>2170</v>
      </c>
      <c r="K713" t="s">
        <v>282</v>
      </c>
      <c r="L713" t="s">
        <v>274</v>
      </c>
      <c r="M713" t="s">
        <v>275</v>
      </c>
      <c r="P713" t="s">
        <v>2289</v>
      </c>
      <c r="Q713" t="e">
        <f t="shared" si="22"/>
        <v>#N/A</v>
      </c>
      <c r="R713" t="e">
        <f t="shared" si="23"/>
        <v>#N/A</v>
      </c>
    </row>
    <row r="714" spans="1:18" x14ac:dyDescent="0.35">
      <c r="A714" s="11" t="s">
        <v>82</v>
      </c>
      <c r="B714" s="11" t="s">
        <v>1628</v>
      </c>
      <c r="C714" s="11" t="s">
        <v>1629</v>
      </c>
      <c r="D714" s="11" t="s">
        <v>274</v>
      </c>
      <c r="E714" s="11" t="s">
        <v>275</v>
      </c>
      <c r="F714" s="11" t="s">
        <v>281</v>
      </c>
      <c r="G714" s="11" t="s">
        <v>282</v>
      </c>
      <c r="I714" t="s">
        <v>1629</v>
      </c>
      <c r="K714" t="s">
        <v>53</v>
      </c>
      <c r="L714" t="s">
        <v>274</v>
      </c>
      <c r="M714" t="s">
        <v>275</v>
      </c>
      <c r="N714" t="s">
        <v>2410</v>
      </c>
      <c r="O714" t="s">
        <v>2459</v>
      </c>
      <c r="Q714" t="e">
        <f t="shared" si="22"/>
        <v>#N/A</v>
      </c>
      <c r="R714">
        <f t="shared" si="23"/>
        <v>1</v>
      </c>
    </row>
    <row r="715" spans="1:18" x14ac:dyDescent="0.35">
      <c r="A715" s="11"/>
      <c r="B715" s="11"/>
      <c r="C715" s="11"/>
      <c r="D715" s="11"/>
      <c r="E715" s="11"/>
      <c r="F715" s="11"/>
      <c r="G715" s="11"/>
      <c r="I715" t="s">
        <v>2163</v>
      </c>
      <c r="K715" t="s">
        <v>279</v>
      </c>
      <c r="L715" t="s">
        <v>274</v>
      </c>
      <c r="M715" t="s">
        <v>275</v>
      </c>
      <c r="N715" t="s">
        <v>2410</v>
      </c>
      <c r="O715" t="s">
        <v>2459</v>
      </c>
      <c r="P715" t="s">
        <v>2290</v>
      </c>
      <c r="Q715" t="e">
        <f t="shared" si="22"/>
        <v>#N/A</v>
      </c>
      <c r="R715" t="e">
        <f t="shared" si="23"/>
        <v>#N/A</v>
      </c>
    </row>
    <row r="716" spans="1:18" x14ac:dyDescent="0.35">
      <c r="A716" s="11"/>
      <c r="B716" s="11"/>
      <c r="C716" s="11"/>
      <c r="D716" s="11"/>
      <c r="E716" s="11"/>
      <c r="F716" s="11"/>
      <c r="G716" s="11"/>
      <c r="I716" t="s">
        <v>2166</v>
      </c>
      <c r="K716" t="s">
        <v>52</v>
      </c>
      <c r="L716" t="s">
        <v>274</v>
      </c>
      <c r="M716" t="s">
        <v>275</v>
      </c>
      <c r="N716" t="s">
        <v>2410</v>
      </c>
      <c r="O716" t="s">
        <v>2459</v>
      </c>
      <c r="P716" t="s">
        <v>2290</v>
      </c>
      <c r="Q716" t="e">
        <f t="shared" si="22"/>
        <v>#N/A</v>
      </c>
      <c r="R716" t="e">
        <f t="shared" si="23"/>
        <v>#N/A</v>
      </c>
    </row>
    <row r="717" spans="1:18" x14ac:dyDescent="0.35">
      <c r="A717" s="11"/>
      <c r="B717" s="11"/>
      <c r="C717" s="11"/>
      <c r="D717" s="11"/>
      <c r="E717" s="11"/>
      <c r="F717" s="11"/>
      <c r="G717" s="11"/>
      <c r="I717" t="s">
        <v>2174</v>
      </c>
      <c r="K717" t="s">
        <v>53</v>
      </c>
      <c r="L717" t="s">
        <v>274</v>
      </c>
      <c r="M717" t="s">
        <v>275</v>
      </c>
      <c r="N717" t="s">
        <v>2410</v>
      </c>
      <c r="O717" t="s">
        <v>2459</v>
      </c>
      <c r="P717" t="s">
        <v>2290</v>
      </c>
      <c r="Q717" t="e">
        <f t="shared" si="22"/>
        <v>#N/A</v>
      </c>
      <c r="R717" t="e">
        <f t="shared" si="23"/>
        <v>#N/A</v>
      </c>
    </row>
    <row r="718" spans="1:18" x14ac:dyDescent="0.35">
      <c r="A718" s="11"/>
      <c r="B718" s="11"/>
      <c r="C718" s="11"/>
      <c r="D718" s="11"/>
      <c r="E718" s="11"/>
      <c r="F718" s="11"/>
      <c r="G718" s="11"/>
      <c r="I718" t="s">
        <v>2175</v>
      </c>
      <c r="K718" t="s">
        <v>53</v>
      </c>
      <c r="L718" t="s">
        <v>274</v>
      </c>
      <c r="M718" t="s">
        <v>275</v>
      </c>
      <c r="N718" t="s">
        <v>2410</v>
      </c>
      <c r="O718" t="s">
        <v>2459</v>
      </c>
      <c r="P718" t="s">
        <v>2290</v>
      </c>
      <c r="Q718" t="e">
        <f t="shared" si="22"/>
        <v>#N/A</v>
      </c>
      <c r="R718" t="e">
        <f t="shared" si="23"/>
        <v>#N/A</v>
      </c>
    </row>
    <row r="719" spans="1:18" x14ac:dyDescent="0.35">
      <c r="A719" s="11" t="s">
        <v>82</v>
      </c>
      <c r="B719" s="11" t="s">
        <v>1630</v>
      </c>
      <c r="C719" s="11" t="s">
        <v>1631</v>
      </c>
      <c r="D719" s="11" t="s">
        <v>274</v>
      </c>
      <c r="E719" s="11" t="s">
        <v>275</v>
      </c>
      <c r="F719" s="11" t="s">
        <v>281</v>
      </c>
      <c r="G719" s="11" t="s">
        <v>282</v>
      </c>
      <c r="I719" t="s">
        <v>1631</v>
      </c>
      <c r="K719" t="s">
        <v>272</v>
      </c>
      <c r="L719" t="s">
        <v>266</v>
      </c>
      <c r="M719" t="s">
        <v>267</v>
      </c>
      <c r="N719" t="s">
        <v>2410</v>
      </c>
      <c r="O719" t="s">
        <v>2410</v>
      </c>
      <c r="Q719" t="e">
        <f t="shared" si="22"/>
        <v>#N/A</v>
      </c>
      <c r="R719" t="e">
        <f t="shared" si="23"/>
        <v>#N/A</v>
      </c>
    </row>
    <row r="720" spans="1:18" x14ac:dyDescent="0.35">
      <c r="A720" s="11"/>
      <c r="B720" s="11"/>
      <c r="C720" s="11"/>
      <c r="D720" s="11"/>
      <c r="E720" s="11"/>
      <c r="F720" s="11"/>
      <c r="G720" s="11"/>
      <c r="I720" t="s">
        <v>2173</v>
      </c>
      <c r="K720" t="s">
        <v>53</v>
      </c>
      <c r="L720" t="s">
        <v>274</v>
      </c>
      <c r="M720" t="s">
        <v>275</v>
      </c>
      <c r="N720" t="s">
        <v>2410</v>
      </c>
      <c r="O720" t="s">
        <v>2459</v>
      </c>
      <c r="P720" t="s">
        <v>2291</v>
      </c>
      <c r="Q720" t="e">
        <f t="shared" si="22"/>
        <v>#N/A</v>
      </c>
      <c r="R720" t="e">
        <f t="shared" si="23"/>
        <v>#N/A</v>
      </c>
    </row>
    <row r="721" spans="1:18" x14ac:dyDescent="0.35">
      <c r="A721" s="11" t="s">
        <v>82</v>
      </c>
      <c r="B721" s="11" t="s">
        <v>1632</v>
      </c>
      <c r="C721" s="11" t="s">
        <v>1633</v>
      </c>
      <c r="D721" s="11" t="s">
        <v>274</v>
      </c>
      <c r="E721" s="11" t="s">
        <v>275</v>
      </c>
      <c r="F721" s="11" t="s">
        <v>281</v>
      </c>
      <c r="G721" s="11" t="s">
        <v>282</v>
      </c>
      <c r="I721" t="s">
        <v>1633</v>
      </c>
      <c r="K721" t="s">
        <v>279</v>
      </c>
      <c r="L721" t="s">
        <v>274</v>
      </c>
      <c r="M721" t="s">
        <v>275</v>
      </c>
      <c r="N721" t="s">
        <v>2410</v>
      </c>
      <c r="O721" t="s">
        <v>2459</v>
      </c>
      <c r="Q721" t="e">
        <f t="shared" si="22"/>
        <v>#N/A</v>
      </c>
      <c r="R721">
        <f t="shared" si="23"/>
        <v>1</v>
      </c>
    </row>
    <row r="722" spans="1:18" x14ac:dyDescent="0.35">
      <c r="A722" s="11" t="s">
        <v>82</v>
      </c>
      <c r="B722" s="11" t="s">
        <v>1634</v>
      </c>
      <c r="C722" s="11" t="s">
        <v>1635</v>
      </c>
      <c r="D722" s="11" t="s">
        <v>284</v>
      </c>
      <c r="E722" s="11" t="s">
        <v>285</v>
      </c>
      <c r="F722" s="11" t="s">
        <v>286</v>
      </c>
      <c r="G722" s="11" t="s">
        <v>287</v>
      </c>
      <c r="I722" t="s">
        <v>1635</v>
      </c>
      <c r="K722" t="s">
        <v>54</v>
      </c>
      <c r="L722" t="s">
        <v>284</v>
      </c>
      <c r="M722" t="s">
        <v>285</v>
      </c>
      <c r="N722" t="s">
        <v>2410</v>
      </c>
      <c r="O722" t="s">
        <v>2459</v>
      </c>
      <c r="Q722" t="e">
        <f t="shared" si="22"/>
        <v>#N/A</v>
      </c>
      <c r="R722">
        <f t="shared" si="23"/>
        <v>1</v>
      </c>
    </row>
    <row r="723" spans="1:18" x14ac:dyDescent="0.35">
      <c r="A723" s="11" t="s">
        <v>82</v>
      </c>
      <c r="B723" s="11" t="s">
        <v>1636</v>
      </c>
      <c r="C723" s="11" t="s">
        <v>287</v>
      </c>
      <c r="D723" s="11" t="s">
        <v>284</v>
      </c>
      <c r="E723" s="11" t="s">
        <v>285</v>
      </c>
      <c r="F723" s="11" t="s">
        <v>286</v>
      </c>
      <c r="G723" s="11" t="s">
        <v>287</v>
      </c>
      <c r="I723" t="s">
        <v>287</v>
      </c>
      <c r="K723" t="s">
        <v>287</v>
      </c>
      <c r="L723" t="s">
        <v>284</v>
      </c>
      <c r="M723" t="s">
        <v>285</v>
      </c>
      <c r="N723" t="s">
        <v>2459</v>
      </c>
      <c r="O723" t="s">
        <v>2459</v>
      </c>
      <c r="Q723">
        <f t="shared" si="22"/>
        <v>1</v>
      </c>
      <c r="R723">
        <f t="shared" si="23"/>
        <v>1</v>
      </c>
    </row>
    <row r="724" spans="1:18" x14ac:dyDescent="0.35">
      <c r="A724" s="11" t="s">
        <v>82</v>
      </c>
      <c r="B724" s="11" t="s">
        <v>1637</v>
      </c>
      <c r="C724" s="11" t="s">
        <v>1638</v>
      </c>
      <c r="D724" s="11" t="s">
        <v>284</v>
      </c>
      <c r="E724" s="11" t="s">
        <v>285</v>
      </c>
      <c r="F724" s="11" t="s">
        <v>286</v>
      </c>
      <c r="G724" s="11" t="s">
        <v>287</v>
      </c>
      <c r="I724" t="s">
        <v>1638</v>
      </c>
      <c r="K724" t="s">
        <v>287</v>
      </c>
      <c r="L724" t="s">
        <v>284</v>
      </c>
      <c r="M724" t="s">
        <v>285</v>
      </c>
      <c r="N724" t="s">
        <v>2459</v>
      </c>
      <c r="O724" t="s">
        <v>2459</v>
      </c>
      <c r="Q724">
        <f t="shared" si="22"/>
        <v>1</v>
      </c>
      <c r="R724">
        <f t="shared" si="23"/>
        <v>1</v>
      </c>
    </row>
    <row r="725" spans="1:18" x14ac:dyDescent="0.35">
      <c r="A725" s="11" t="s">
        <v>82</v>
      </c>
      <c r="B725" s="11" t="s">
        <v>1639</v>
      </c>
      <c r="C725" s="11" t="s">
        <v>1640</v>
      </c>
      <c r="D725" s="11" t="s">
        <v>284</v>
      </c>
      <c r="E725" s="11" t="s">
        <v>285</v>
      </c>
      <c r="F725" s="11" t="s">
        <v>286</v>
      </c>
      <c r="G725" s="11" t="s">
        <v>287</v>
      </c>
      <c r="I725" t="s">
        <v>1640</v>
      </c>
      <c r="K725" t="s">
        <v>54</v>
      </c>
      <c r="L725" t="s">
        <v>284</v>
      </c>
      <c r="M725" t="s">
        <v>285</v>
      </c>
      <c r="N725" t="s">
        <v>2410</v>
      </c>
      <c r="O725" t="s">
        <v>2459</v>
      </c>
      <c r="Q725" t="e">
        <f t="shared" si="22"/>
        <v>#N/A</v>
      </c>
      <c r="R725">
        <f t="shared" si="23"/>
        <v>1</v>
      </c>
    </row>
    <row r="726" spans="1:18" x14ac:dyDescent="0.35">
      <c r="A726" s="11" t="s">
        <v>82</v>
      </c>
      <c r="B726" s="11" t="s">
        <v>1641</v>
      </c>
      <c r="C726" s="11" t="s">
        <v>1642</v>
      </c>
      <c r="D726" s="11" t="s">
        <v>284</v>
      </c>
      <c r="E726" s="11" t="s">
        <v>285</v>
      </c>
      <c r="F726" s="11" t="s">
        <v>286</v>
      </c>
      <c r="G726" s="11" t="s">
        <v>287</v>
      </c>
      <c r="I726" t="s">
        <v>1642</v>
      </c>
      <c r="K726" t="s">
        <v>287</v>
      </c>
      <c r="L726" t="s">
        <v>284</v>
      </c>
      <c r="M726" t="s">
        <v>285</v>
      </c>
      <c r="N726" t="s">
        <v>2459</v>
      </c>
      <c r="O726" t="s">
        <v>2459</v>
      </c>
      <c r="Q726">
        <f t="shared" si="22"/>
        <v>1</v>
      </c>
      <c r="R726">
        <f t="shared" si="23"/>
        <v>1</v>
      </c>
    </row>
    <row r="727" spans="1:18" x14ac:dyDescent="0.35">
      <c r="A727" s="11" t="s">
        <v>82</v>
      </c>
      <c r="B727" s="11" t="s">
        <v>1643</v>
      </c>
      <c r="C727" s="11" t="s">
        <v>1644</v>
      </c>
      <c r="D727" s="11" t="s">
        <v>284</v>
      </c>
      <c r="E727" s="11" t="s">
        <v>285</v>
      </c>
      <c r="F727" s="11" t="s">
        <v>286</v>
      </c>
      <c r="G727" s="11" t="s">
        <v>287</v>
      </c>
      <c r="I727" t="s">
        <v>1644</v>
      </c>
      <c r="K727" t="s">
        <v>287</v>
      </c>
      <c r="L727" t="s">
        <v>284</v>
      </c>
      <c r="M727" t="s">
        <v>285</v>
      </c>
      <c r="N727" t="s">
        <v>2459</v>
      </c>
      <c r="O727" t="s">
        <v>2459</v>
      </c>
      <c r="Q727">
        <f t="shared" si="22"/>
        <v>1</v>
      </c>
      <c r="R727">
        <f t="shared" si="23"/>
        <v>1</v>
      </c>
    </row>
    <row r="728" spans="1:18" x14ac:dyDescent="0.35">
      <c r="A728" s="11" t="s">
        <v>82</v>
      </c>
      <c r="B728" s="11" t="s">
        <v>1645</v>
      </c>
      <c r="C728" s="11" t="s">
        <v>1646</v>
      </c>
      <c r="D728" s="11" t="s">
        <v>284</v>
      </c>
      <c r="E728" s="11" t="s">
        <v>285</v>
      </c>
      <c r="F728" s="11" t="s">
        <v>286</v>
      </c>
      <c r="G728" s="11" t="s">
        <v>287</v>
      </c>
      <c r="I728" t="s">
        <v>1646</v>
      </c>
      <c r="K728" t="s">
        <v>54</v>
      </c>
      <c r="L728" t="s">
        <v>284</v>
      </c>
      <c r="M728" t="s">
        <v>285</v>
      </c>
      <c r="N728" t="s">
        <v>2410</v>
      </c>
      <c r="O728" t="s">
        <v>2459</v>
      </c>
      <c r="Q728" t="e">
        <f t="shared" si="22"/>
        <v>#N/A</v>
      </c>
      <c r="R728">
        <f t="shared" si="23"/>
        <v>1</v>
      </c>
    </row>
    <row r="729" spans="1:18" x14ac:dyDescent="0.35">
      <c r="A729" s="11" t="s">
        <v>82</v>
      </c>
      <c r="B729" s="11" t="s">
        <v>1647</v>
      </c>
      <c r="C729" s="11" t="s">
        <v>1648</v>
      </c>
      <c r="D729" s="11" t="s">
        <v>284</v>
      </c>
      <c r="E729" s="11" t="s">
        <v>285</v>
      </c>
      <c r="F729" s="11" t="s">
        <v>286</v>
      </c>
      <c r="G729" s="11" t="s">
        <v>287</v>
      </c>
      <c r="I729" t="s">
        <v>1648</v>
      </c>
      <c r="K729" t="s">
        <v>287</v>
      </c>
      <c r="L729" t="s">
        <v>284</v>
      </c>
      <c r="M729" t="s">
        <v>285</v>
      </c>
      <c r="N729" t="s">
        <v>2459</v>
      </c>
      <c r="O729" t="s">
        <v>2459</v>
      </c>
      <c r="Q729">
        <f t="shared" si="22"/>
        <v>1</v>
      </c>
      <c r="R729">
        <f t="shared" si="23"/>
        <v>1</v>
      </c>
    </row>
    <row r="730" spans="1:18" x14ac:dyDescent="0.35">
      <c r="A730" s="11" t="s">
        <v>82</v>
      </c>
      <c r="B730" s="11" t="s">
        <v>1649</v>
      </c>
      <c r="C730" s="11" t="s">
        <v>1650</v>
      </c>
      <c r="D730" s="11" t="s">
        <v>284</v>
      </c>
      <c r="E730" s="11" t="s">
        <v>285</v>
      </c>
      <c r="F730" s="11" t="s">
        <v>286</v>
      </c>
      <c r="G730" s="11" t="s">
        <v>287</v>
      </c>
      <c r="I730" t="s">
        <v>1650</v>
      </c>
      <c r="K730" t="s">
        <v>287</v>
      </c>
      <c r="L730" t="s">
        <v>284</v>
      </c>
      <c r="M730" t="s">
        <v>285</v>
      </c>
      <c r="N730" t="s">
        <v>2459</v>
      </c>
      <c r="O730" t="s">
        <v>2459</v>
      </c>
      <c r="Q730">
        <f t="shared" si="22"/>
        <v>1</v>
      </c>
      <c r="R730">
        <f t="shared" si="23"/>
        <v>1</v>
      </c>
    </row>
    <row r="731" spans="1:18" x14ac:dyDescent="0.35">
      <c r="A731" s="11" t="s">
        <v>82</v>
      </c>
      <c r="B731" s="11" t="s">
        <v>1651</v>
      </c>
      <c r="C731" s="11" t="s">
        <v>1652</v>
      </c>
      <c r="D731" s="11" t="s">
        <v>284</v>
      </c>
      <c r="E731" s="11" t="s">
        <v>285</v>
      </c>
      <c r="F731" s="11" t="s">
        <v>286</v>
      </c>
      <c r="G731" s="11" t="s">
        <v>287</v>
      </c>
      <c r="I731" t="s">
        <v>1652</v>
      </c>
      <c r="K731" t="s">
        <v>287</v>
      </c>
      <c r="L731" t="s">
        <v>284</v>
      </c>
      <c r="M731" t="s">
        <v>285</v>
      </c>
      <c r="N731" t="s">
        <v>2459</v>
      </c>
      <c r="O731" t="s">
        <v>2459</v>
      </c>
      <c r="Q731">
        <f t="shared" si="22"/>
        <v>1</v>
      </c>
      <c r="R731">
        <f t="shared" si="23"/>
        <v>1</v>
      </c>
    </row>
    <row r="732" spans="1:18" x14ac:dyDescent="0.35">
      <c r="A732" s="11" t="s">
        <v>82</v>
      </c>
      <c r="B732" s="11" t="s">
        <v>1653</v>
      </c>
      <c r="C732" s="11" t="s">
        <v>1654</v>
      </c>
      <c r="D732" s="11" t="s">
        <v>284</v>
      </c>
      <c r="E732" s="11" t="s">
        <v>285</v>
      </c>
      <c r="F732" s="11" t="s">
        <v>286</v>
      </c>
      <c r="G732" s="11" t="s">
        <v>287</v>
      </c>
      <c r="I732" t="s">
        <v>1654</v>
      </c>
      <c r="K732" t="s">
        <v>287</v>
      </c>
      <c r="L732" t="s">
        <v>284</v>
      </c>
      <c r="M732" t="s">
        <v>285</v>
      </c>
      <c r="N732" t="s">
        <v>2459</v>
      </c>
      <c r="O732" t="s">
        <v>2459</v>
      </c>
      <c r="Q732">
        <f t="shared" si="22"/>
        <v>1</v>
      </c>
      <c r="R732">
        <f t="shared" si="23"/>
        <v>1</v>
      </c>
    </row>
    <row r="733" spans="1:18" x14ac:dyDescent="0.35">
      <c r="A733" s="11" t="s">
        <v>82</v>
      </c>
      <c r="B733" s="11" t="s">
        <v>1655</v>
      </c>
      <c r="C733" s="11" t="s">
        <v>1656</v>
      </c>
      <c r="D733" s="11" t="s">
        <v>284</v>
      </c>
      <c r="E733" s="11" t="s">
        <v>285</v>
      </c>
      <c r="F733" s="11" t="s">
        <v>286</v>
      </c>
      <c r="G733" s="11" t="s">
        <v>287</v>
      </c>
      <c r="I733" t="s">
        <v>1656</v>
      </c>
      <c r="K733" t="s">
        <v>287</v>
      </c>
      <c r="L733" t="s">
        <v>284</v>
      </c>
      <c r="M733" t="s">
        <v>285</v>
      </c>
      <c r="N733" t="s">
        <v>2459</v>
      </c>
      <c r="O733" t="s">
        <v>2459</v>
      </c>
      <c r="Q733">
        <f t="shared" si="22"/>
        <v>1</v>
      </c>
      <c r="R733">
        <f t="shared" si="23"/>
        <v>1</v>
      </c>
    </row>
    <row r="734" spans="1:18" x14ac:dyDescent="0.35">
      <c r="A734" s="11" t="s">
        <v>82</v>
      </c>
      <c r="B734" s="11" t="s">
        <v>1657</v>
      </c>
      <c r="C734" s="11" t="s">
        <v>54</v>
      </c>
      <c r="D734" s="11" t="s">
        <v>284</v>
      </c>
      <c r="E734" s="11" t="s">
        <v>285</v>
      </c>
      <c r="F734" s="11" t="s">
        <v>286</v>
      </c>
      <c r="G734" s="11" t="s">
        <v>287</v>
      </c>
      <c r="I734" t="s">
        <v>54</v>
      </c>
      <c r="K734" t="s">
        <v>54</v>
      </c>
      <c r="L734" t="s">
        <v>284</v>
      </c>
      <c r="M734" t="s">
        <v>285</v>
      </c>
      <c r="N734" t="s">
        <v>2410</v>
      </c>
      <c r="O734" t="s">
        <v>2459</v>
      </c>
      <c r="Q734" t="e">
        <f t="shared" si="22"/>
        <v>#N/A</v>
      </c>
      <c r="R734">
        <f t="shared" si="23"/>
        <v>1</v>
      </c>
    </row>
    <row r="735" spans="1:18" x14ac:dyDescent="0.35">
      <c r="A735" s="11" t="s">
        <v>82</v>
      </c>
      <c r="B735" s="11" t="s">
        <v>1658</v>
      </c>
      <c r="C735" s="11" t="s">
        <v>1659</v>
      </c>
      <c r="D735" s="11" t="s">
        <v>284</v>
      </c>
      <c r="E735" s="11" t="s">
        <v>285</v>
      </c>
      <c r="F735" s="11" t="s">
        <v>286</v>
      </c>
      <c r="G735" s="11" t="s">
        <v>287</v>
      </c>
      <c r="I735" t="s">
        <v>1659</v>
      </c>
      <c r="K735" t="s">
        <v>54</v>
      </c>
      <c r="L735" t="s">
        <v>284</v>
      </c>
      <c r="M735" t="s">
        <v>285</v>
      </c>
      <c r="N735" t="s">
        <v>2410</v>
      </c>
      <c r="O735" t="s">
        <v>2459</v>
      </c>
      <c r="Q735" t="e">
        <f t="shared" si="22"/>
        <v>#N/A</v>
      </c>
      <c r="R735">
        <f t="shared" si="23"/>
        <v>1</v>
      </c>
    </row>
    <row r="736" spans="1:18" x14ac:dyDescent="0.35">
      <c r="A736" s="11" t="s">
        <v>82</v>
      </c>
      <c r="B736" s="11" t="s">
        <v>1660</v>
      </c>
      <c r="C736" s="11" t="s">
        <v>1661</v>
      </c>
      <c r="D736" s="11" t="s">
        <v>284</v>
      </c>
      <c r="E736" s="11" t="s">
        <v>285</v>
      </c>
      <c r="F736" s="11" t="s">
        <v>286</v>
      </c>
      <c r="G736" s="11" t="s">
        <v>287</v>
      </c>
      <c r="I736" t="s">
        <v>1661</v>
      </c>
      <c r="K736" t="s">
        <v>54</v>
      </c>
      <c r="L736" t="s">
        <v>284</v>
      </c>
      <c r="M736" t="s">
        <v>285</v>
      </c>
      <c r="N736" t="s">
        <v>2410</v>
      </c>
      <c r="O736" t="s">
        <v>2459</v>
      </c>
      <c r="Q736" t="e">
        <f t="shared" si="22"/>
        <v>#N/A</v>
      </c>
      <c r="R736">
        <f t="shared" si="23"/>
        <v>1</v>
      </c>
    </row>
    <row r="737" spans="1:18" x14ac:dyDescent="0.35">
      <c r="A737" s="11" t="s">
        <v>82</v>
      </c>
      <c r="B737" s="11" t="s">
        <v>1662</v>
      </c>
      <c r="C737" s="11" t="s">
        <v>1663</v>
      </c>
      <c r="D737" s="11" t="s">
        <v>284</v>
      </c>
      <c r="E737" s="11" t="s">
        <v>285</v>
      </c>
      <c r="F737" s="11" t="s">
        <v>286</v>
      </c>
      <c r="G737" s="11" t="s">
        <v>287</v>
      </c>
      <c r="I737" t="s">
        <v>1663</v>
      </c>
      <c r="K737" t="s">
        <v>54</v>
      </c>
      <c r="L737" t="s">
        <v>284</v>
      </c>
      <c r="M737" t="s">
        <v>285</v>
      </c>
      <c r="N737" t="s">
        <v>2410</v>
      </c>
      <c r="O737" t="s">
        <v>2459</v>
      </c>
      <c r="Q737" t="e">
        <f t="shared" si="22"/>
        <v>#N/A</v>
      </c>
      <c r="R737">
        <f t="shared" si="23"/>
        <v>1</v>
      </c>
    </row>
    <row r="738" spans="1:18" x14ac:dyDescent="0.35">
      <c r="A738" s="11" t="s">
        <v>82</v>
      </c>
      <c r="B738" s="11" t="s">
        <v>1664</v>
      </c>
      <c r="C738" s="11" t="s">
        <v>1665</v>
      </c>
      <c r="D738" s="11" t="s">
        <v>284</v>
      </c>
      <c r="E738" s="11" t="s">
        <v>285</v>
      </c>
      <c r="F738" s="11" t="s">
        <v>289</v>
      </c>
      <c r="G738" s="11" t="s">
        <v>290</v>
      </c>
      <c r="I738" t="s">
        <v>1665</v>
      </c>
      <c r="K738" t="s">
        <v>287</v>
      </c>
      <c r="L738" t="s">
        <v>284</v>
      </c>
      <c r="M738" t="s">
        <v>285</v>
      </c>
      <c r="N738" t="s">
        <v>2410</v>
      </c>
      <c r="O738" t="s">
        <v>2459</v>
      </c>
      <c r="Q738" t="e">
        <f t="shared" si="22"/>
        <v>#N/A</v>
      </c>
      <c r="R738">
        <f t="shared" si="23"/>
        <v>1</v>
      </c>
    </row>
    <row r="739" spans="1:18" x14ac:dyDescent="0.35">
      <c r="A739" s="11" t="s">
        <v>82</v>
      </c>
      <c r="B739" s="11" t="s">
        <v>1666</v>
      </c>
      <c r="C739" s="11" t="s">
        <v>1667</v>
      </c>
      <c r="D739" s="11" t="s">
        <v>284</v>
      </c>
      <c r="E739" s="11" t="s">
        <v>285</v>
      </c>
      <c r="F739" s="11" t="s">
        <v>289</v>
      </c>
      <c r="G739" s="11" t="s">
        <v>290</v>
      </c>
      <c r="I739" t="s">
        <v>1667</v>
      </c>
      <c r="K739" t="s">
        <v>54</v>
      </c>
      <c r="L739" t="s">
        <v>284</v>
      </c>
      <c r="M739" t="s">
        <v>285</v>
      </c>
      <c r="N739" t="s">
        <v>2410</v>
      </c>
      <c r="O739" t="s">
        <v>2459</v>
      </c>
      <c r="Q739" t="e">
        <f t="shared" si="22"/>
        <v>#N/A</v>
      </c>
      <c r="R739">
        <f t="shared" si="23"/>
        <v>1</v>
      </c>
    </row>
    <row r="740" spans="1:18" x14ac:dyDescent="0.35">
      <c r="A740" s="11" t="s">
        <v>82</v>
      </c>
      <c r="B740" s="11" t="s">
        <v>1668</v>
      </c>
      <c r="C740" s="11" t="s">
        <v>1669</v>
      </c>
      <c r="D740" s="11" t="s">
        <v>284</v>
      </c>
      <c r="E740" s="11" t="s">
        <v>285</v>
      </c>
      <c r="F740" s="11" t="s">
        <v>289</v>
      </c>
      <c r="G740" s="11" t="s">
        <v>290</v>
      </c>
      <c r="I740" t="s">
        <v>1669</v>
      </c>
      <c r="K740" t="s">
        <v>290</v>
      </c>
      <c r="L740" t="s">
        <v>284</v>
      </c>
      <c r="M740" t="s">
        <v>285</v>
      </c>
      <c r="N740" t="s">
        <v>2459</v>
      </c>
      <c r="O740" t="s">
        <v>2459</v>
      </c>
      <c r="Q740">
        <f t="shared" si="22"/>
        <v>1</v>
      </c>
      <c r="R740">
        <f t="shared" si="23"/>
        <v>1</v>
      </c>
    </row>
    <row r="741" spans="1:18" x14ac:dyDescent="0.35">
      <c r="A741" s="11" t="s">
        <v>82</v>
      </c>
      <c r="B741" s="11" t="s">
        <v>1670</v>
      </c>
      <c r="C741" s="11" t="s">
        <v>1671</v>
      </c>
      <c r="D741" s="11" t="s">
        <v>284</v>
      </c>
      <c r="E741" s="11" t="s">
        <v>285</v>
      </c>
      <c r="F741" s="11" t="s">
        <v>289</v>
      </c>
      <c r="G741" s="11" t="s">
        <v>290</v>
      </c>
      <c r="I741" t="s">
        <v>1671</v>
      </c>
      <c r="K741" t="s">
        <v>287</v>
      </c>
      <c r="L741" t="s">
        <v>284</v>
      </c>
      <c r="M741" t="s">
        <v>285</v>
      </c>
      <c r="N741" t="s">
        <v>2410</v>
      </c>
      <c r="O741" t="s">
        <v>2459</v>
      </c>
      <c r="Q741" t="e">
        <f t="shared" si="22"/>
        <v>#N/A</v>
      </c>
      <c r="R741">
        <f t="shared" si="23"/>
        <v>1</v>
      </c>
    </row>
    <row r="742" spans="1:18" x14ac:dyDescent="0.35">
      <c r="A742" s="11" t="s">
        <v>82</v>
      </c>
      <c r="B742" s="11" t="s">
        <v>1672</v>
      </c>
      <c r="C742" s="11" t="s">
        <v>1673</v>
      </c>
      <c r="D742" s="11" t="s">
        <v>284</v>
      </c>
      <c r="E742" s="11" t="s">
        <v>285</v>
      </c>
      <c r="F742" s="11" t="s">
        <v>289</v>
      </c>
      <c r="G742" s="11" t="s">
        <v>290</v>
      </c>
      <c r="I742" t="s">
        <v>1673</v>
      </c>
      <c r="K742" t="s">
        <v>290</v>
      </c>
      <c r="L742" t="s">
        <v>284</v>
      </c>
      <c r="M742" t="s">
        <v>285</v>
      </c>
      <c r="N742" t="s">
        <v>2459</v>
      </c>
      <c r="O742" t="s">
        <v>2459</v>
      </c>
      <c r="Q742">
        <f t="shared" si="22"/>
        <v>1</v>
      </c>
      <c r="R742">
        <f t="shared" si="23"/>
        <v>1</v>
      </c>
    </row>
    <row r="743" spans="1:18" x14ac:dyDescent="0.35">
      <c r="A743" s="11" t="s">
        <v>82</v>
      </c>
      <c r="B743" s="11" t="s">
        <v>1674</v>
      </c>
      <c r="C743" s="11" t="s">
        <v>1675</v>
      </c>
      <c r="D743" s="11" t="s">
        <v>284</v>
      </c>
      <c r="E743" s="11" t="s">
        <v>285</v>
      </c>
      <c r="F743" s="11" t="s">
        <v>289</v>
      </c>
      <c r="G743" s="11" t="s">
        <v>290</v>
      </c>
      <c r="I743" t="s">
        <v>1675</v>
      </c>
      <c r="K743" t="s">
        <v>290</v>
      </c>
      <c r="L743" t="s">
        <v>284</v>
      </c>
      <c r="M743" t="s">
        <v>285</v>
      </c>
      <c r="N743" t="s">
        <v>2459</v>
      </c>
      <c r="O743" t="s">
        <v>2459</v>
      </c>
      <c r="Q743">
        <f t="shared" si="22"/>
        <v>1</v>
      </c>
      <c r="R743">
        <f t="shared" si="23"/>
        <v>1</v>
      </c>
    </row>
    <row r="744" spans="1:18" x14ac:dyDescent="0.35">
      <c r="A744" s="11" t="s">
        <v>82</v>
      </c>
      <c r="B744" s="11" t="s">
        <v>1676</v>
      </c>
      <c r="C744" s="11" t="s">
        <v>1677</v>
      </c>
      <c r="D744" s="11" t="s">
        <v>284</v>
      </c>
      <c r="E744" s="11" t="s">
        <v>285</v>
      </c>
      <c r="F744" s="11" t="s">
        <v>289</v>
      </c>
      <c r="G744" s="11" t="s">
        <v>290</v>
      </c>
      <c r="I744" t="s">
        <v>1677</v>
      </c>
      <c r="K744" t="s">
        <v>290</v>
      </c>
      <c r="L744" t="s">
        <v>284</v>
      </c>
      <c r="M744" t="s">
        <v>285</v>
      </c>
      <c r="N744" t="s">
        <v>2459</v>
      </c>
      <c r="O744" t="s">
        <v>2459</v>
      </c>
      <c r="Q744">
        <f t="shared" si="22"/>
        <v>1</v>
      </c>
      <c r="R744">
        <f t="shared" si="23"/>
        <v>1</v>
      </c>
    </row>
    <row r="745" spans="1:18" x14ac:dyDescent="0.35">
      <c r="A745" s="11" t="s">
        <v>82</v>
      </c>
      <c r="B745" s="11" t="s">
        <v>1678</v>
      </c>
      <c r="C745" s="11" t="s">
        <v>1679</v>
      </c>
      <c r="D745" s="11" t="s">
        <v>284</v>
      </c>
      <c r="E745" s="11" t="s">
        <v>285</v>
      </c>
      <c r="F745" s="11" t="s">
        <v>289</v>
      </c>
      <c r="G745" s="11" t="s">
        <v>290</v>
      </c>
      <c r="I745" t="s">
        <v>1679</v>
      </c>
      <c r="K745" t="s">
        <v>290</v>
      </c>
      <c r="L745" t="s">
        <v>284</v>
      </c>
      <c r="M745" t="s">
        <v>285</v>
      </c>
      <c r="N745" t="s">
        <v>2459</v>
      </c>
      <c r="O745" t="s">
        <v>2459</v>
      </c>
      <c r="Q745">
        <f t="shared" si="22"/>
        <v>1</v>
      </c>
      <c r="R745">
        <f t="shared" si="23"/>
        <v>1</v>
      </c>
    </row>
    <row r="746" spans="1:18" x14ac:dyDescent="0.35">
      <c r="A746" s="11" t="s">
        <v>82</v>
      </c>
      <c r="B746" s="11" t="s">
        <v>1680</v>
      </c>
      <c r="C746" s="11" t="s">
        <v>1681</v>
      </c>
      <c r="D746" s="11" t="s">
        <v>284</v>
      </c>
      <c r="E746" s="11" t="s">
        <v>285</v>
      </c>
      <c r="F746" s="11" t="s">
        <v>289</v>
      </c>
      <c r="G746" s="11" t="s">
        <v>290</v>
      </c>
      <c r="I746" t="s">
        <v>1681</v>
      </c>
      <c r="K746" t="s">
        <v>290</v>
      </c>
      <c r="L746" t="s">
        <v>284</v>
      </c>
      <c r="M746" t="s">
        <v>285</v>
      </c>
      <c r="N746" t="s">
        <v>2459</v>
      </c>
      <c r="O746" t="s">
        <v>2459</v>
      </c>
      <c r="Q746">
        <f t="shared" si="22"/>
        <v>1</v>
      </c>
      <c r="R746">
        <f t="shared" si="23"/>
        <v>1</v>
      </c>
    </row>
    <row r="747" spans="1:18" x14ac:dyDescent="0.35">
      <c r="A747" s="11" t="s">
        <v>82</v>
      </c>
      <c r="B747" s="11" t="s">
        <v>1682</v>
      </c>
      <c r="C747" s="11" t="s">
        <v>290</v>
      </c>
      <c r="D747" s="11" t="s">
        <v>284</v>
      </c>
      <c r="E747" s="11" t="s">
        <v>285</v>
      </c>
      <c r="F747" s="11" t="s">
        <v>289</v>
      </c>
      <c r="G747" s="11" t="s">
        <v>290</v>
      </c>
      <c r="I747" t="s">
        <v>290</v>
      </c>
      <c r="K747" t="s">
        <v>290</v>
      </c>
      <c r="L747" t="s">
        <v>284</v>
      </c>
      <c r="M747" t="s">
        <v>285</v>
      </c>
      <c r="N747" t="s">
        <v>2459</v>
      </c>
      <c r="O747" t="s">
        <v>2459</v>
      </c>
      <c r="Q747">
        <f t="shared" si="22"/>
        <v>1</v>
      </c>
      <c r="R747">
        <f t="shared" si="23"/>
        <v>1</v>
      </c>
    </row>
    <row r="748" spans="1:18" x14ac:dyDescent="0.35">
      <c r="A748" s="11" t="s">
        <v>82</v>
      </c>
      <c r="B748" s="11" t="s">
        <v>1683</v>
      </c>
      <c r="C748" s="11" t="s">
        <v>1684</v>
      </c>
      <c r="D748" s="11" t="s">
        <v>284</v>
      </c>
      <c r="E748" s="11" t="s">
        <v>285</v>
      </c>
      <c r="F748" s="11" t="s">
        <v>289</v>
      </c>
      <c r="G748" s="11" t="s">
        <v>290</v>
      </c>
      <c r="I748" t="s">
        <v>1684</v>
      </c>
      <c r="K748" t="s">
        <v>290</v>
      </c>
      <c r="L748" t="s">
        <v>284</v>
      </c>
      <c r="M748" t="s">
        <v>285</v>
      </c>
      <c r="N748" t="s">
        <v>2459</v>
      </c>
      <c r="O748" t="s">
        <v>2459</v>
      </c>
      <c r="Q748">
        <f t="shared" si="22"/>
        <v>1</v>
      </c>
      <c r="R748">
        <f t="shared" si="23"/>
        <v>1</v>
      </c>
    </row>
    <row r="749" spans="1:18" x14ac:dyDescent="0.35">
      <c r="A749" s="11" t="s">
        <v>82</v>
      </c>
      <c r="B749" s="11" t="s">
        <v>1685</v>
      </c>
      <c r="C749" s="11" t="s">
        <v>1686</v>
      </c>
      <c r="D749" s="11" t="s">
        <v>284</v>
      </c>
      <c r="E749" s="11" t="s">
        <v>285</v>
      </c>
      <c r="F749" s="11" t="s">
        <v>289</v>
      </c>
      <c r="G749" s="11" t="s">
        <v>290</v>
      </c>
      <c r="I749" t="s">
        <v>1686</v>
      </c>
      <c r="K749" t="s">
        <v>290</v>
      </c>
      <c r="L749" t="s">
        <v>284</v>
      </c>
      <c r="M749" t="s">
        <v>285</v>
      </c>
      <c r="N749" t="s">
        <v>2459</v>
      </c>
      <c r="O749" t="s">
        <v>2459</v>
      </c>
      <c r="Q749">
        <f t="shared" si="22"/>
        <v>1</v>
      </c>
      <c r="R749">
        <f t="shared" si="23"/>
        <v>1</v>
      </c>
    </row>
    <row r="750" spans="1:18" x14ac:dyDescent="0.35">
      <c r="A750" s="11" t="s">
        <v>82</v>
      </c>
      <c r="B750" s="11" t="s">
        <v>1687</v>
      </c>
      <c r="C750" s="11" t="s">
        <v>1688</v>
      </c>
      <c r="D750" s="11" t="s">
        <v>284</v>
      </c>
      <c r="E750" s="11" t="s">
        <v>285</v>
      </c>
      <c r="F750" s="11" t="s">
        <v>289</v>
      </c>
      <c r="G750" s="11" t="s">
        <v>290</v>
      </c>
      <c r="I750" t="s">
        <v>1688</v>
      </c>
      <c r="K750" t="s">
        <v>290</v>
      </c>
      <c r="L750" t="s">
        <v>284</v>
      </c>
      <c r="M750" t="s">
        <v>285</v>
      </c>
      <c r="N750" t="s">
        <v>2459</v>
      </c>
      <c r="O750" t="s">
        <v>2459</v>
      </c>
      <c r="Q750">
        <f t="shared" si="22"/>
        <v>1</v>
      </c>
      <c r="R750">
        <f t="shared" si="23"/>
        <v>1</v>
      </c>
    </row>
    <row r="751" spans="1:18" x14ac:dyDescent="0.35">
      <c r="A751" s="11" t="s">
        <v>82</v>
      </c>
      <c r="B751" s="11" t="s">
        <v>1689</v>
      </c>
      <c r="C751" s="11" t="s">
        <v>285</v>
      </c>
      <c r="D751" s="11" t="s">
        <v>284</v>
      </c>
      <c r="E751" s="11" t="s">
        <v>285</v>
      </c>
      <c r="F751" s="11" t="s">
        <v>289</v>
      </c>
      <c r="G751" s="11" t="s">
        <v>290</v>
      </c>
      <c r="I751" t="s">
        <v>285</v>
      </c>
      <c r="K751" t="s">
        <v>290</v>
      </c>
      <c r="L751" t="s">
        <v>284</v>
      </c>
      <c r="M751" t="s">
        <v>285</v>
      </c>
      <c r="N751" t="s">
        <v>2459</v>
      </c>
      <c r="O751" t="s">
        <v>2459</v>
      </c>
      <c r="Q751">
        <f t="shared" si="22"/>
        <v>1</v>
      </c>
      <c r="R751">
        <f t="shared" si="23"/>
        <v>1</v>
      </c>
    </row>
    <row r="752" spans="1:18" x14ac:dyDescent="0.35">
      <c r="A752" s="11" t="s">
        <v>82</v>
      </c>
      <c r="B752" s="11" t="s">
        <v>1690</v>
      </c>
      <c r="C752" s="11" t="s">
        <v>1691</v>
      </c>
      <c r="D752" s="11" t="s">
        <v>284</v>
      </c>
      <c r="E752" s="11" t="s">
        <v>285</v>
      </c>
      <c r="F752" s="11" t="s">
        <v>289</v>
      </c>
      <c r="G752" s="11" t="s">
        <v>290</v>
      </c>
      <c r="I752" t="s">
        <v>1691</v>
      </c>
      <c r="K752" t="s">
        <v>290</v>
      </c>
      <c r="L752" t="s">
        <v>284</v>
      </c>
      <c r="M752" t="s">
        <v>285</v>
      </c>
      <c r="N752" t="s">
        <v>2459</v>
      </c>
      <c r="O752" t="s">
        <v>2459</v>
      </c>
      <c r="Q752">
        <f t="shared" si="22"/>
        <v>1</v>
      </c>
      <c r="R752">
        <f t="shared" si="23"/>
        <v>1</v>
      </c>
    </row>
    <row r="753" spans="1:18" x14ac:dyDescent="0.35">
      <c r="A753" s="11" t="s">
        <v>82</v>
      </c>
      <c r="B753" s="11" t="s">
        <v>1692</v>
      </c>
      <c r="C753" s="11" t="s">
        <v>1693</v>
      </c>
      <c r="D753" s="11" t="s">
        <v>284</v>
      </c>
      <c r="E753" s="11" t="s">
        <v>285</v>
      </c>
      <c r="F753" s="11" t="s">
        <v>292</v>
      </c>
      <c r="G753" s="11" t="s">
        <v>293</v>
      </c>
      <c r="I753" t="s">
        <v>1693</v>
      </c>
      <c r="K753" t="s">
        <v>293</v>
      </c>
      <c r="L753" t="s">
        <v>284</v>
      </c>
      <c r="M753" t="s">
        <v>285</v>
      </c>
      <c r="N753" t="s">
        <v>2459</v>
      </c>
      <c r="O753" t="s">
        <v>2459</v>
      </c>
      <c r="Q753">
        <f t="shared" si="22"/>
        <v>1</v>
      </c>
      <c r="R753">
        <f t="shared" si="23"/>
        <v>1</v>
      </c>
    </row>
    <row r="754" spans="1:18" x14ac:dyDescent="0.35">
      <c r="A754" s="11" t="s">
        <v>82</v>
      </c>
      <c r="B754" s="11" t="s">
        <v>1694</v>
      </c>
      <c r="C754" s="11" t="s">
        <v>1695</v>
      </c>
      <c r="D754" s="11" t="s">
        <v>284</v>
      </c>
      <c r="E754" s="11" t="s">
        <v>285</v>
      </c>
      <c r="F754" s="11" t="s">
        <v>292</v>
      </c>
      <c r="G754" s="11" t="s">
        <v>293</v>
      </c>
      <c r="I754" t="s">
        <v>1695</v>
      </c>
      <c r="K754" t="s">
        <v>293</v>
      </c>
      <c r="L754" t="s">
        <v>284</v>
      </c>
      <c r="M754" t="s">
        <v>285</v>
      </c>
      <c r="N754" t="s">
        <v>2459</v>
      </c>
      <c r="O754" t="s">
        <v>2459</v>
      </c>
      <c r="Q754">
        <f t="shared" si="22"/>
        <v>1</v>
      </c>
      <c r="R754">
        <f t="shared" si="23"/>
        <v>1</v>
      </c>
    </row>
    <row r="755" spans="1:18" x14ac:dyDescent="0.35">
      <c r="A755" s="11" t="s">
        <v>82</v>
      </c>
      <c r="B755" s="11" t="s">
        <v>1696</v>
      </c>
      <c r="C755" s="11" t="s">
        <v>1697</v>
      </c>
      <c r="D755" s="11" t="s">
        <v>284</v>
      </c>
      <c r="E755" s="11" t="s">
        <v>285</v>
      </c>
      <c r="F755" s="11" t="s">
        <v>292</v>
      </c>
      <c r="G755" s="11" t="s">
        <v>293</v>
      </c>
      <c r="I755" t="s">
        <v>1697</v>
      </c>
      <c r="K755" t="s">
        <v>293</v>
      </c>
      <c r="L755" t="s">
        <v>284</v>
      </c>
      <c r="M755" t="s">
        <v>285</v>
      </c>
      <c r="N755" t="s">
        <v>2459</v>
      </c>
      <c r="O755" t="s">
        <v>2459</v>
      </c>
      <c r="Q755">
        <f t="shared" si="22"/>
        <v>1</v>
      </c>
      <c r="R755">
        <f t="shared" si="23"/>
        <v>1</v>
      </c>
    </row>
    <row r="756" spans="1:18" x14ac:dyDescent="0.35">
      <c r="A756" s="11" t="s">
        <v>82</v>
      </c>
      <c r="B756" s="11" t="s">
        <v>1698</v>
      </c>
      <c r="C756" s="11" t="s">
        <v>293</v>
      </c>
      <c r="D756" s="11" t="s">
        <v>284</v>
      </c>
      <c r="E756" s="11" t="s">
        <v>285</v>
      </c>
      <c r="F756" s="11" t="s">
        <v>292</v>
      </c>
      <c r="G756" s="11" t="s">
        <v>293</v>
      </c>
      <c r="I756" t="s">
        <v>293</v>
      </c>
      <c r="K756" t="s">
        <v>293</v>
      </c>
      <c r="L756" t="s">
        <v>284</v>
      </c>
      <c r="M756" t="s">
        <v>285</v>
      </c>
      <c r="N756" t="s">
        <v>2459</v>
      </c>
      <c r="O756" t="s">
        <v>2459</v>
      </c>
      <c r="Q756">
        <f t="shared" si="22"/>
        <v>1</v>
      </c>
      <c r="R756">
        <f t="shared" si="23"/>
        <v>1</v>
      </c>
    </row>
    <row r="757" spans="1:18" x14ac:dyDescent="0.35">
      <c r="A757" s="11" t="s">
        <v>82</v>
      </c>
      <c r="B757" s="11" t="s">
        <v>1699</v>
      </c>
      <c r="C757" s="11" t="s">
        <v>1700</v>
      </c>
      <c r="D757" s="11" t="s">
        <v>284</v>
      </c>
      <c r="E757" s="11" t="s">
        <v>285</v>
      </c>
      <c r="F757" s="11" t="s">
        <v>292</v>
      </c>
      <c r="G757" s="11" t="s">
        <v>293</v>
      </c>
      <c r="I757" t="s">
        <v>1700</v>
      </c>
      <c r="K757" t="s">
        <v>293</v>
      </c>
      <c r="L757" t="s">
        <v>284</v>
      </c>
      <c r="M757" t="s">
        <v>285</v>
      </c>
      <c r="N757" t="s">
        <v>2459</v>
      </c>
      <c r="O757" t="s">
        <v>2459</v>
      </c>
      <c r="Q757">
        <f t="shared" si="22"/>
        <v>1</v>
      </c>
      <c r="R757">
        <f t="shared" si="23"/>
        <v>1</v>
      </c>
    </row>
    <row r="758" spans="1:18" x14ac:dyDescent="0.35">
      <c r="A758" s="11" t="s">
        <v>82</v>
      </c>
      <c r="B758" s="11" t="s">
        <v>1701</v>
      </c>
      <c r="C758" s="11" t="s">
        <v>1702</v>
      </c>
      <c r="D758" s="11" t="s">
        <v>284</v>
      </c>
      <c r="E758" s="11" t="s">
        <v>285</v>
      </c>
      <c r="F758" s="11" t="s">
        <v>292</v>
      </c>
      <c r="G758" s="11" t="s">
        <v>293</v>
      </c>
      <c r="I758" t="s">
        <v>1702</v>
      </c>
      <c r="K758" t="s">
        <v>293</v>
      </c>
      <c r="L758" t="s">
        <v>284</v>
      </c>
      <c r="M758" t="s">
        <v>285</v>
      </c>
      <c r="N758" t="s">
        <v>2459</v>
      </c>
      <c r="O758" t="s">
        <v>2459</v>
      </c>
      <c r="Q758">
        <f t="shared" si="22"/>
        <v>1</v>
      </c>
      <c r="R758">
        <f t="shared" si="23"/>
        <v>1</v>
      </c>
    </row>
    <row r="759" spans="1:18" x14ac:dyDescent="0.35">
      <c r="A759" s="11" t="s">
        <v>82</v>
      </c>
      <c r="B759" s="11" t="s">
        <v>1703</v>
      </c>
      <c r="C759" s="11" t="s">
        <v>1704</v>
      </c>
      <c r="D759" s="11" t="s">
        <v>284</v>
      </c>
      <c r="E759" s="11" t="s">
        <v>285</v>
      </c>
      <c r="F759" s="11" t="s">
        <v>292</v>
      </c>
      <c r="G759" s="11" t="s">
        <v>293</v>
      </c>
      <c r="I759" t="s">
        <v>1704</v>
      </c>
      <c r="K759" t="s">
        <v>293</v>
      </c>
      <c r="L759" t="s">
        <v>284</v>
      </c>
      <c r="M759" t="s">
        <v>285</v>
      </c>
      <c r="N759" t="s">
        <v>2459</v>
      </c>
      <c r="O759" t="s">
        <v>2459</v>
      </c>
      <c r="Q759">
        <f t="shared" si="22"/>
        <v>1</v>
      </c>
      <c r="R759">
        <f t="shared" si="23"/>
        <v>1</v>
      </c>
    </row>
    <row r="760" spans="1:18" x14ac:dyDescent="0.35">
      <c r="A760" s="11" t="s">
        <v>82</v>
      </c>
      <c r="B760" s="11" t="s">
        <v>1705</v>
      </c>
      <c r="C760" s="11" t="s">
        <v>1706</v>
      </c>
      <c r="D760" s="11" t="s">
        <v>284</v>
      </c>
      <c r="E760" s="11" t="s">
        <v>285</v>
      </c>
      <c r="F760" s="11" t="s">
        <v>292</v>
      </c>
      <c r="G760" s="11" t="s">
        <v>293</v>
      </c>
      <c r="I760" t="s">
        <v>1706</v>
      </c>
      <c r="K760" t="s">
        <v>293</v>
      </c>
      <c r="L760" t="s">
        <v>284</v>
      </c>
      <c r="M760" t="s">
        <v>285</v>
      </c>
      <c r="N760" t="s">
        <v>2459</v>
      </c>
      <c r="O760" t="s">
        <v>2459</v>
      </c>
      <c r="Q760">
        <f t="shared" si="22"/>
        <v>1</v>
      </c>
      <c r="R760">
        <f t="shared" si="23"/>
        <v>1</v>
      </c>
    </row>
    <row r="761" spans="1:18" x14ac:dyDescent="0.35">
      <c r="A761" s="11" t="s">
        <v>82</v>
      </c>
      <c r="B761" s="11" t="s">
        <v>1707</v>
      </c>
      <c r="C761" s="11" t="s">
        <v>1708</v>
      </c>
      <c r="D761" s="11" t="s">
        <v>284</v>
      </c>
      <c r="E761" s="11" t="s">
        <v>285</v>
      </c>
      <c r="F761" s="11" t="s">
        <v>292</v>
      </c>
      <c r="G761" s="11" t="s">
        <v>293</v>
      </c>
      <c r="I761" t="s">
        <v>1708</v>
      </c>
      <c r="K761" t="s">
        <v>293</v>
      </c>
      <c r="L761" t="s">
        <v>284</v>
      </c>
      <c r="M761" t="s">
        <v>285</v>
      </c>
      <c r="N761" t="s">
        <v>2459</v>
      </c>
      <c r="O761" t="s">
        <v>2459</v>
      </c>
      <c r="Q761">
        <f t="shared" si="22"/>
        <v>1</v>
      </c>
      <c r="R761">
        <f t="shared" si="23"/>
        <v>1</v>
      </c>
    </row>
    <row r="762" spans="1:18" x14ac:dyDescent="0.35">
      <c r="A762" s="11" t="s">
        <v>82</v>
      </c>
      <c r="B762" s="11" t="s">
        <v>1709</v>
      </c>
      <c r="C762" s="11" t="s">
        <v>1710</v>
      </c>
      <c r="D762" s="11" t="s">
        <v>284</v>
      </c>
      <c r="E762" s="11" t="s">
        <v>285</v>
      </c>
      <c r="F762" s="11" t="s">
        <v>292</v>
      </c>
      <c r="G762" s="11" t="s">
        <v>293</v>
      </c>
      <c r="I762" t="s">
        <v>1710</v>
      </c>
      <c r="K762" t="s">
        <v>293</v>
      </c>
      <c r="L762" t="s">
        <v>284</v>
      </c>
      <c r="M762" t="s">
        <v>285</v>
      </c>
      <c r="N762" t="s">
        <v>2459</v>
      </c>
      <c r="O762" t="s">
        <v>2459</v>
      </c>
      <c r="Q762">
        <f t="shared" si="22"/>
        <v>1</v>
      </c>
      <c r="R762">
        <f t="shared" si="23"/>
        <v>1</v>
      </c>
    </row>
    <row r="763" spans="1:18" x14ac:dyDescent="0.35">
      <c r="A763" s="11" t="s">
        <v>82</v>
      </c>
      <c r="B763" s="11" t="s">
        <v>1711</v>
      </c>
      <c r="C763" s="11" t="s">
        <v>1712</v>
      </c>
      <c r="D763" s="11" t="s">
        <v>284</v>
      </c>
      <c r="E763" s="11" t="s">
        <v>285</v>
      </c>
      <c r="F763" s="11" t="s">
        <v>292</v>
      </c>
      <c r="G763" s="11" t="s">
        <v>293</v>
      </c>
      <c r="I763" t="s">
        <v>1712</v>
      </c>
      <c r="K763" t="s">
        <v>293</v>
      </c>
      <c r="L763" t="s">
        <v>284</v>
      </c>
      <c r="M763" t="s">
        <v>285</v>
      </c>
      <c r="N763" t="s">
        <v>2459</v>
      </c>
      <c r="O763" t="s">
        <v>2459</v>
      </c>
      <c r="Q763">
        <f t="shared" si="22"/>
        <v>1</v>
      </c>
      <c r="R763">
        <f t="shared" si="23"/>
        <v>1</v>
      </c>
    </row>
    <row r="764" spans="1:18" x14ac:dyDescent="0.35">
      <c r="A764" s="11" t="s">
        <v>82</v>
      </c>
      <c r="B764" s="11" t="s">
        <v>1713</v>
      </c>
      <c r="C764" s="11" t="s">
        <v>1714</v>
      </c>
      <c r="D764" s="11" t="s">
        <v>284</v>
      </c>
      <c r="E764" s="11" t="s">
        <v>285</v>
      </c>
      <c r="F764" s="11" t="s">
        <v>292</v>
      </c>
      <c r="G764" s="11" t="s">
        <v>293</v>
      </c>
      <c r="I764" t="s">
        <v>1714</v>
      </c>
      <c r="K764" t="s">
        <v>293</v>
      </c>
      <c r="L764" t="s">
        <v>284</v>
      </c>
      <c r="M764" t="s">
        <v>285</v>
      </c>
      <c r="N764" t="s">
        <v>2459</v>
      </c>
      <c r="O764" t="s">
        <v>2459</v>
      </c>
      <c r="Q764">
        <f t="shared" si="22"/>
        <v>1</v>
      </c>
      <c r="R764">
        <f t="shared" si="23"/>
        <v>1</v>
      </c>
    </row>
    <row r="765" spans="1:18" x14ac:dyDescent="0.35">
      <c r="A765" s="11" t="s">
        <v>82</v>
      </c>
      <c r="B765" s="11" t="s">
        <v>1715</v>
      </c>
      <c r="C765" s="11" t="s">
        <v>1716</v>
      </c>
      <c r="D765" s="11" t="s">
        <v>284</v>
      </c>
      <c r="E765" s="11" t="s">
        <v>285</v>
      </c>
      <c r="F765" s="11" t="s">
        <v>292</v>
      </c>
      <c r="G765" s="11" t="s">
        <v>293</v>
      </c>
      <c r="I765" t="s">
        <v>1716</v>
      </c>
      <c r="K765" t="s">
        <v>293</v>
      </c>
      <c r="L765" t="s">
        <v>284</v>
      </c>
      <c r="M765" t="s">
        <v>285</v>
      </c>
      <c r="N765" t="s">
        <v>2459</v>
      </c>
      <c r="O765" t="s">
        <v>2459</v>
      </c>
      <c r="Q765">
        <f t="shared" si="22"/>
        <v>1</v>
      </c>
      <c r="R765">
        <f t="shared" si="23"/>
        <v>1</v>
      </c>
    </row>
    <row r="766" spans="1:18" x14ac:dyDescent="0.35">
      <c r="A766" s="11" t="s">
        <v>82</v>
      </c>
      <c r="B766" s="11" t="s">
        <v>1717</v>
      </c>
      <c r="C766" s="11" t="s">
        <v>1718</v>
      </c>
      <c r="D766" s="11" t="s">
        <v>284</v>
      </c>
      <c r="E766" s="11" t="s">
        <v>285</v>
      </c>
      <c r="F766" s="11" t="s">
        <v>292</v>
      </c>
      <c r="G766" s="11" t="s">
        <v>293</v>
      </c>
      <c r="I766" t="s">
        <v>1718</v>
      </c>
      <c r="K766" t="s">
        <v>293</v>
      </c>
      <c r="L766" t="s">
        <v>284</v>
      </c>
      <c r="M766" t="s">
        <v>285</v>
      </c>
      <c r="N766" t="s">
        <v>2459</v>
      </c>
      <c r="O766" t="s">
        <v>2459</v>
      </c>
      <c r="Q766">
        <f t="shared" si="22"/>
        <v>1</v>
      </c>
      <c r="R766">
        <f t="shared" si="23"/>
        <v>1</v>
      </c>
    </row>
    <row r="767" spans="1:18" x14ac:dyDescent="0.35">
      <c r="A767" s="11" t="s">
        <v>82</v>
      </c>
      <c r="B767" s="11" t="s">
        <v>1719</v>
      </c>
      <c r="C767" s="11" t="s">
        <v>1720</v>
      </c>
      <c r="D767" s="11" t="s">
        <v>295</v>
      </c>
      <c r="E767" s="11" t="s">
        <v>296</v>
      </c>
      <c r="F767" s="11" t="s">
        <v>297</v>
      </c>
      <c r="G767" s="11" t="s">
        <v>298</v>
      </c>
      <c r="I767" t="s">
        <v>1720</v>
      </c>
      <c r="K767" t="s">
        <v>298</v>
      </c>
      <c r="L767" t="s">
        <v>295</v>
      </c>
      <c r="M767" t="s">
        <v>296</v>
      </c>
      <c r="N767" t="s">
        <v>2459</v>
      </c>
      <c r="O767" t="s">
        <v>2459</v>
      </c>
      <c r="Q767">
        <f t="shared" si="22"/>
        <v>1</v>
      </c>
      <c r="R767">
        <f t="shared" si="23"/>
        <v>1</v>
      </c>
    </row>
    <row r="768" spans="1:18" x14ac:dyDescent="0.35">
      <c r="A768" s="11" t="s">
        <v>82</v>
      </c>
      <c r="B768" s="11" t="s">
        <v>1721</v>
      </c>
      <c r="C768" s="11" t="s">
        <v>298</v>
      </c>
      <c r="D768" s="11" t="s">
        <v>295</v>
      </c>
      <c r="E768" s="11" t="s">
        <v>296</v>
      </c>
      <c r="F768" s="11" t="s">
        <v>297</v>
      </c>
      <c r="G768" s="11" t="s">
        <v>298</v>
      </c>
      <c r="I768" t="s">
        <v>298</v>
      </c>
      <c r="K768" t="s">
        <v>298</v>
      </c>
      <c r="L768" t="s">
        <v>295</v>
      </c>
      <c r="M768" t="s">
        <v>296</v>
      </c>
      <c r="N768" t="s">
        <v>2459</v>
      </c>
      <c r="O768" t="s">
        <v>2459</v>
      </c>
      <c r="Q768">
        <f t="shared" si="22"/>
        <v>1</v>
      </c>
      <c r="R768">
        <f t="shared" si="23"/>
        <v>1</v>
      </c>
    </row>
    <row r="769" spans="1:18" x14ac:dyDescent="0.35">
      <c r="A769" s="11" t="s">
        <v>82</v>
      </c>
      <c r="B769" s="11" t="s">
        <v>1722</v>
      </c>
      <c r="C769" s="11" t="s">
        <v>1723</v>
      </c>
      <c r="D769" s="11" t="s">
        <v>295</v>
      </c>
      <c r="E769" s="11" t="s">
        <v>296</v>
      </c>
      <c r="F769" s="11" t="s">
        <v>297</v>
      </c>
      <c r="G769" s="11" t="s">
        <v>298</v>
      </c>
      <c r="I769" t="s">
        <v>1723</v>
      </c>
      <c r="K769" t="s">
        <v>298</v>
      </c>
      <c r="L769" t="s">
        <v>295</v>
      </c>
      <c r="M769" t="s">
        <v>296</v>
      </c>
      <c r="N769" t="s">
        <v>2459</v>
      </c>
      <c r="O769" t="s">
        <v>2459</v>
      </c>
      <c r="Q769">
        <f t="shared" si="22"/>
        <v>1</v>
      </c>
      <c r="R769">
        <f t="shared" si="23"/>
        <v>1</v>
      </c>
    </row>
    <row r="770" spans="1:18" x14ac:dyDescent="0.35">
      <c r="A770" s="11" t="s">
        <v>82</v>
      </c>
      <c r="B770" s="11" t="s">
        <v>1724</v>
      </c>
      <c r="C770" s="11" t="s">
        <v>296</v>
      </c>
      <c r="D770" s="11" t="s">
        <v>295</v>
      </c>
      <c r="E770" s="11" t="s">
        <v>296</v>
      </c>
      <c r="F770" s="11" t="s">
        <v>297</v>
      </c>
      <c r="G770" s="11" t="s">
        <v>298</v>
      </c>
      <c r="I770" t="s">
        <v>296</v>
      </c>
      <c r="K770" t="s">
        <v>298</v>
      </c>
      <c r="L770" t="s">
        <v>295</v>
      </c>
      <c r="M770" t="s">
        <v>296</v>
      </c>
      <c r="N770" t="s">
        <v>2459</v>
      </c>
      <c r="O770" t="s">
        <v>2459</v>
      </c>
      <c r="Q770">
        <f t="shared" si="22"/>
        <v>1</v>
      </c>
      <c r="R770">
        <f t="shared" si="23"/>
        <v>1</v>
      </c>
    </row>
    <row r="771" spans="1:18" x14ac:dyDescent="0.35">
      <c r="A771" s="11" t="s">
        <v>82</v>
      </c>
      <c r="B771" s="11" t="s">
        <v>1725</v>
      </c>
      <c r="C771" s="11" t="s">
        <v>1726</v>
      </c>
      <c r="D771" s="11" t="s">
        <v>295</v>
      </c>
      <c r="E771" s="11" t="s">
        <v>296</v>
      </c>
      <c r="F771" s="11" t="s">
        <v>297</v>
      </c>
      <c r="G771" s="11" t="s">
        <v>298</v>
      </c>
      <c r="I771" t="s">
        <v>1726</v>
      </c>
      <c r="K771" t="s">
        <v>55</v>
      </c>
      <c r="L771" t="s">
        <v>295</v>
      </c>
      <c r="M771" t="s">
        <v>296</v>
      </c>
      <c r="N771" t="s">
        <v>2410</v>
      </c>
      <c r="O771" t="s">
        <v>2459</v>
      </c>
      <c r="Q771" t="e">
        <f t="shared" ref="Q771:Q834" si="24">MATCH(G771,K771,0)</f>
        <v>#N/A</v>
      </c>
      <c r="R771">
        <f t="shared" ref="R771:R834" si="25">MATCH(E771,M771,0)</f>
        <v>1</v>
      </c>
    </row>
    <row r="772" spans="1:18" x14ac:dyDescent="0.35">
      <c r="A772" s="11" t="s">
        <v>82</v>
      </c>
      <c r="B772" s="11" t="s">
        <v>1727</v>
      </c>
      <c r="C772" s="11" t="s">
        <v>1508</v>
      </c>
      <c r="D772" s="11" t="s">
        <v>295</v>
      </c>
      <c r="E772" s="11" t="s">
        <v>296</v>
      </c>
      <c r="F772" s="11" t="s">
        <v>300</v>
      </c>
      <c r="G772" s="11" t="s">
        <v>301</v>
      </c>
      <c r="I772" t="s">
        <v>1508</v>
      </c>
      <c r="K772" t="s">
        <v>55</v>
      </c>
      <c r="L772" t="s">
        <v>295</v>
      </c>
      <c r="M772" t="s">
        <v>296</v>
      </c>
      <c r="N772" t="s">
        <v>2410</v>
      </c>
      <c r="O772" t="s">
        <v>2459</v>
      </c>
      <c r="Q772" t="e">
        <f t="shared" si="24"/>
        <v>#N/A</v>
      </c>
      <c r="R772">
        <f t="shared" si="25"/>
        <v>1</v>
      </c>
    </row>
    <row r="773" spans="1:18" x14ac:dyDescent="0.35">
      <c r="A773" s="11" t="s">
        <v>82</v>
      </c>
      <c r="B773" s="11" t="s">
        <v>1728</v>
      </c>
      <c r="C773" s="11" t="s">
        <v>1729</v>
      </c>
      <c r="D773" s="11" t="s">
        <v>295</v>
      </c>
      <c r="E773" s="11" t="s">
        <v>296</v>
      </c>
      <c r="F773" s="11" t="s">
        <v>300</v>
      </c>
      <c r="G773" s="11" t="s">
        <v>301</v>
      </c>
      <c r="I773" t="s">
        <v>1729</v>
      </c>
      <c r="K773" t="s">
        <v>55</v>
      </c>
      <c r="L773" t="s">
        <v>295</v>
      </c>
      <c r="M773" t="s">
        <v>296</v>
      </c>
      <c r="N773" t="s">
        <v>2410</v>
      </c>
      <c r="O773" t="s">
        <v>2459</v>
      </c>
      <c r="Q773" t="e">
        <f t="shared" si="24"/>
        <v>#N/A</v>
      </c>
      <c r="R773">
        <f t="shared" si="25"/>
        <v>1</v>
      </c>
    </row>
    <row r="774" spans="1:18" x14ac:dyDescent="0.35">
      <c r="A774" s="11" t="s">
        <v>82</v>
      </c>
      <c r="B774" s="11" t="s">
        <v>1730</v>
      </c>
      <c r="C774" s="11" t="s">
        <v>1731</v>
      </c>
      <c r="D774" s="11" t="s">
        <v>295</v>
      </c>
      <c r="E774" s="11" t="s">
        <v>296</v>
      </c>
      <c r="F774" s="11" t="s">
        <v>300</v>
      </c>
      <c r="G774" s="11" t="s">
        <v>301</v>
      </c>
      <c r="I774" t="s">
        <v>1731</v>
      </c>
      <c r="K774" t="s">
        <v>55</v>
      </c>
      <c r="L774" t="s">
        <v>295</v>
      </c>
      <c r="M774" t="s">
        <v>296</v>
      </c>
      <c r="N774" t="s">
        <v>2410</v>
      </c>
      <c r="O774" t="s">
        <v>2459</v>
      </c>
      <c r="Q774" t="e">
        <f t="shared" si="24"/>
        <v>#N/A</v>
      </c>
      <c r="R774">
        <f t="shared" si="25"/>
        <v>1</v>
      </c>
    </row>
    <row r="775" spans="1:18" x14ac:dyDescent="0.35">
      <c r="A775" s="11" t="s">
        <v>82</v>
      </c>
      <c r="B775" s="11" t="s">
        <v>1732</v>
      </c>
      <c r="C775" s="11" t="s">
        <v>301</v>
      </c>
      <c r="D775" s="11" t="s">
        <v>295</v>
      </c>
      <c r="E775" s="11" t="s">
        <v>296</v>
      </c>
      <c r="F775" s="11" t="s">
        <v>300</v>
      </c>
      <c r="G775" s="11" t="s">
        <v>301</v>
      </c>
      <c r="I775" t="s">
        <v>301</v>
      </c>
      <c r="K775" t="s">
        <v>301</v>
      </c>
      <c r="L775" t="s">
        <v>295</v>
      </c>
      <c r="M775" t="s">
        <v>296</v>
      </c>
      <c r="N775" t="s">
        <v>2459</v>
      </c>
      <c r="O775" t="s">
        <v>2459</v>
      </c>
      <c r="Q775">
        <f t="shared" si="24"/>
        <v>1</v>
      </c>
      <c r="R775">
        <f t="shared" si="25"/>
        <v>1</v>
      </c>
    </row>
    <row r="776" spans="1:18" x14ac:dyDescent="0.35">
      <c r="A776" s="11" t="s">
        <v>82</v>
      </c>
      <c r="B776" s="11" t="s">
        <v>1733</v>
      </c>
      <c r="C776" s="11" t="s">
        <v>1734</v>
      </c>
      <c r="D776" s="11" t="s">
        <v>295</v>
      </c>
      <c r="E776" s="11" t="s">
        <v>296</v>
      </c>
      <c r="F776" s="11" t="s">
        <v>300</v>
      </c>
      <c r="G776" s="11" t="s">
        <v>301</v>
      </c>
      <c r="I776" t="s">
        <v>1734</v>
      </c>
      <c r="K776" t="s">
        <v>301</v>
      </c>
      <c r="L776" t="s">
        <v>295</v>
      </c>
      <c r="M776" t="s">
        <v>296</v>
      </c>
      <c r="N776" t="s">
        <v>2459</v>
      </c>
      <c r="O776" t="s">
        <v>2459</v>
      </c>
      <c r="Q776">
        <f t="shared" si="24"/>
        <v>1</v>
      </c>
      <c r="R776">
        <f t="shared" si="25"/>
        <v>1</v>
      </c>
    </row>
    <row r="777" spans="1:18" x14ac:dyDescent="0.35">
      <c r="A777" s="11" t="s">
        <v>82</v>
      </c>
      <c r="B777" s="11" t="s">
        <v>1735</v>
      </c>
      <c r="C777" s="11" t="s">
        <v>1736</v>
      </c>
      <c r="D777" s="11" t="s">
        <v>295</v>
      </c>
      <c r="E777" s="11" t="s">
        <v>296</v>
      </c>
      <c r="F777" s="11" t="s">
        <v>300</v>
      </c>
      <c r="G777" s="11" t="s">
        <v>301</v>
      </c>
      <c r="I777" t="s">
        <v>1736</v>
      </c>
      <c r="K777" t="s">
        <v>301</v>
      </c>
      <c r="L777" t="s">
        <v>295</v>
      </c>
      <c r="M777" t="s">
        <v>296</v>
      </c>
      <c r="N777" t="s">
        <v>2459</v>
      </c>
      <c r="O777" t="s">
        <v>2459</v>
      </c>
      <c r="Q777">
        <f t="shared" si="24"/>
        <v>1</v>
      </c>
      <c r="R777">
        <f t="shared" si="25"/>
        <v>1</v>
      </c>
    </row>
    <row r="778" spans="1:18" x14ac:dyDescent="0.35">
      <c r="A778" s="11" t="s">
        <v>82</v>
      </c>
      <c r="B778" s="11" t="s">
        <v>1737</v>
      </c>
      <c r="C778" s="11" t="s">
        <v>1738</v>
      </c>
      <c r="D778" s="11" t="s">
        <v>295</v>
      </c>
      <c r="E778" s="11" t="s">
        <v>296</v>
      </c>
      <c r="F778" s="11" t="s">
        <v>300</v>
      </c>
      <c r="G778" s="11" t="s">
        <v>301</v>
      </c>
      <c r="I778" t="s">
        <v>1738</v>
      </c>
      <c r="K778" t="s">
        <v>301</v>
      </c>
      <c r="L778" t="s">
        <v>295</v>
      </c>
      <c r="M778" t="s">
        <v>296</v>
      </c>
      <c r="N778" t="s">
        <v>2459</v>
      </c>
      <c r="O778" t="s">
        <v>2459</v>
      </c>
      <c r="Q778">
        <f t="shared" si="24"/>
        <v>1</v>
      </c>
      <c r="R778">
        <f t="shared" si="25"/>
        <v>1</v>
      </c>
    </row>
    <row r="779" spans="1:18" x14ac:dyDescent="0.35">
      <c r="A779" s="11" t="s">
        <v>82</v>
      </c>
      <c r="B779" s="11" t="s">
        <v>1739</v>
      </c>
      <c r="C779" s="11" t="s">
        <v>1740</v>
      </c>
      <c r="D779" s="11" t="s">
        <v>295</v>
      </c>
      <c r="E779" s="11" t="s">
        <v>296</v>
      </c>
      <c r="F779" s="11" t="s">
        <v>300</v>
      </c>
      <c r="G779" s="11" t="s">
        <v>301</v>
      </c>
      <c r="I779" t="s">
        <v>1740</v>
      </c>
      <c r="K779" t="s">
        <v>301</v>
      </c>
      <c r="L779" t="s">
        <v>295</v>
      </c>
      <c r="M779" t="s">
        <v>296</v>
      </c>
      <c r="N779" t="s">
        <v>2459</v>
      </c>
      <c r="O779" t="s">
        <v>2459</v>
      </c>
      <c r="Q779">
        <f t="shared" si="24"/>
        <v>1</v>
      </c>
      <c r="R779">
        <f t="shared" si="25"/>
        <v>1</v>
      </c>
    </row>
    <row r="780" spans="1:18" x14ac:dyDescent="0.35">
      <c r="A780" s="11" t="s">
        <v>82</v>
      </c>
      <c r="B780" s="11" t="s">
        <v>1741</v>
      </c>
      <c r="C780" s="11" t="s">
        <v>1742</v>
      </c>
      <c r="D780" s="11" t="s">
        <v>295</v>
      </c>
      <c r="E780" s="11" t="s">
        <v>296</v>
      </c>
      <c r="F780" s="11" t="s">
        <v>300</v>
      </c>
      <c r="G780" s="11" t="s">
        <v>301</v>
      </c>
      <c r="I780" t="s">
        <v>1742</v>
      </c>
      <c r="K780" t="s">
        <v>301</v>
      </c>
      <c r="L780" t="s">
        <v>295</v>
      </c>
      <c r="M780" t="s">
        <v>296</v>
      </c>
      <c r="N780" t="s">
        <v>2459</v>
      </c>
      <c r="O780" t="s">
        <v>2459</v>
      </c>
      <c r="Q780">
        <f t="shared" si="24"/>
        <v>1</v>
      </c>
      <c r="R780">
        <f t="shared" si="25"/>
        <v>1</v>
      </c>
    </row>
    <row r="781" spans="1:18" x14ac:dyDescent="0.35">
      <c r="A781" s="11" t="s">
        <v>82</v>
      </c>
      <c r="B781" s="11" t="s">
        <v>1743</v>
      </c>
      <c r="C781" s="11" t="s">
        <v>1744</v>
      </c>
      <c r="D781" s="11" t="s">
        <v>295</v>
      </c>
      <c r="E781" s="11" t="s">
        <v>296</v>
      </c>
      <c r="F781" s="11" t="s">
        <v>300</v>
      </c>
      <c r="G781" s="11" t="s">
        <v>301</v>
      </c>
      <c r="I781" t="s">
        <v>1744</v>
      </c>
      <c r="K781" t="s">
        <v>301</v>
      </c>
      <c r="L781" t="s">
        <v>295</v>
      </c>
      <c r="M781" t="s">
        <v>296</v>
      </c>
      <c r="N781" t="s">
        <v>2459</v>
      </c>
      <c r="O781" t="s">
        <v>2459</v>
      </c>
      <c r="Q781">
        <f t="shared" si="24"/>
        <v>1</v>
      </c>
      <c r="R781">
        <f t="shared" si="25"/>
        <v>1</v>
      </c>
    </row>
    <row r="782" spans="1:18" x14ac:dyDescent="0.35">
      <c r="A782" s="11" t="s">
        <v>82</v>
      </c>
      <c r="B782" s="11" t="s">
        <v>1745</v>
      </c>
      <c r="C782" s="11" t="s">
        <v>1746</v>
      </c>
      <c r="D782" s="11" t="s">
        <v>295</v>
      </c>
      <c r="E782" s="11" t="s">
        <v>296</v>
      </c>
      <c r="F782" s="11" t="s">
        <v>300</v>
      </c>
      <c r="G782" s="11" t="s">
        <v>301</v>
      </c>
      <c r="I782" t="s">
        <v>1746</v>
      </c>
      <c r="K782" t="s">
        <v>301</v>
      </c>
      <c r="L782" t="s">
        <v>295</v>
      </c>
      <c r="M782" t="s">
        <v>296</v>
      </c>
      <c r="N782" t="s">
        <v>2459</v>
      </c>
      <c r="O782" t="s">
        <v>2459</v>
      </c>
      <c r="Q782">
        <f t="shared" si="24"/>
        <v>1</v>
      </c>
      <c r="R782">
        <f t="shared" si="25"/>
        <v>1</v>
      </c>
    </row>
    <row r="783" spans="1:18" x14ac:dyDescent="0.35">
      <c r="A783" s="11" t="s">
        <v>82</v>
      </c>
      <c r="B783" s="11" t="s">
        <v>1747</v>
      </c>
      <c r="C783" s="11" t="s">
        <v>1748</v>
      </c>
      <c r="D783" s="11" t="s">
        <v>295</v>
      </c>
      <c r="E783" s="11" t="s">
        <v>296</v>
      </c>
      <c r="F783" s="11" t="s">
        <v>300</v>
      </c>
      <c r="G783" s="11" t="s">
        <v>301</v>
      </c>
      <c r="I783" t="s">
        <v>1748</v>
      </c>
      <c r="K783" t="s">
        <v>301</v>
      </c>
      <c r="L783" t="s">
        <v>295</v>
      </c>
      <c r="M783" t="s">
        <v>296</v>
      </c>
      <c r="N783" t="s">
        <v>2459</v>
      </c>
      <c r="O783" t="s">
        <v>2459</v>
      </c>
      <c r="Q783">
        <f t="shared" si="24"/>
        <v>1</v>
      </c>
      <c r="R783">
        <f t="shared" si="25"/>
        <v>1</v>
      </c>
    </row>
    <row r="784" spans="1:18" x14ac:dyDescent="0.35">
      <c r="A784" s="11" t="s">
        <v>82</v>
      </c>
      <c r="B784" s="11" t="s">
        <v>1749</v>
      </c>
      <c r="C784" s="11" t="s">
        <v>1750</v>
      </c>
      <c r="D784" s="11" t="s">
        <v>295</v>
      </c>
      <c r="E784" s="11" t="s">
        <v>296</v>
      </c>
      <c r="F784" s="11" t="s">
        <v>300</v>
      </c>
      <c r="G784" s="11" t="s">
        <v>301</v>
      </c>
      <c r="I784" t="s">
        <v>1750</v>
      </c>
      <c r="K784" t="s">
        <v>301</v>
      </c>
      <c r="L784" t="s">
        <v>295</v>
      </c>
      <c r="M784" t="s">
        <v>296</v>
      </c>
      <c r="N784" t="s">
        <v>2459</v>
      </c>
      <c r="O784" t="s">
        <v>2459</v>
      </c>
      <c r="Q784">
        <f t="shared" si="24"/>
        <v>1</v>
      </c>
      <c r="R784">
        <f t="shared" si="25"/>
        <v>1</v>
      </c>
    </row>
    <row r="785" spans="1:18" x14ac:dyDescent="0.35">
      <c r="A785" s="11" t="s">
        <v>82</v>
      </c>
      <c r="B785" s="11" t="s">
        <v>1751</v>
      </c>
      <c r="C785" s="11" t="s">
        <v>1752</v>
      </c>
      <c r="D785" s="11" t="s">
        <v>295</v>
      </c>
      <c r="E785" s="11" t="s">
        <v>296</v>
      </c>
      <c r="F785" s="11" t="s">
        <v>300</v>
      </c>
      <c r="G785" s="11" t="s">
        <v>301</v>
      </c>
      <c r="I785" t="s">
        <v>1752</v>
      </c>
      <c r="K785" t="s">
        <v>301</v>
      </c>
      <c r="L785" t="s">
        <v>295</v>
      </c>
      <c r="M785" t="s">
        <v>296</v>
      </c>
      <c r="N785" t="s">
        <v>2459</v>
      </c>
      <c r="O785" t="s">
        <v>2459</v>
      </c>
      <c r="Q785">
        <f t="shared" si="24"/>
        <v>1</v>
      </c>
      <c r="R785">
        <f t="shared" si="25"/>
        <v>1</v>
      </c>
    </row>
    <row r="786" spans="1:18" x14ac:dyDescent="0.35">
      <c r="A786" s="11" t="s">
        <v>82</v>
      </c>
      <c r="B786" s="11" t="s">
        <v>1753</v>
      </c>
      <c r="C786" s="11" t="s">
        <v>1754</v>
      </c>
      <c r="D786" s="11" t="s">
        <v>295</v>
      </c>
      <c r="E786" s="11" t="s">
        <v>296</v>
      </c>
      <c r="F786" s="11" t="s">
        <v>300</v>
      </c>
      <c r="G786" s="11" t="s">
        <v>301</v>
      </c>
      <c r="I786" t="s">
        <v>1754</v>
      </c>
      <c r="K786" t="s">
        <v>301</v>
      </c>
      <c r="L786" t="s">
        <v>295</v>
      </c>
      <c r="M786" t="s">
        <v>296</v>
      </c>
      <c r="N786" t="s">
        <v>2459</v>
      </c>
      <c r="O786" t="s">
        <v>2459</v>
      </c>
      <c r="Q786">
        <f t="shared" si="24"/>
        <v>1</v>
      </c>
      <c r="R786">
        <f t="shared" si="25"/>
        <v>1</v>
      </c>
    </row>
    <row r="787" spans="1:18" x14ac:dyDescent="0.35">
      <c r="A787" s="11" t="s">
        <v>82</v>
      </c>
      <c r="B787" s="11" t="s">
        <v>1755</v>
      </c>
      <c r="C787" s="11" t="s">
        <v>1756</v>
      </c>
      <c r="D787" s="11" t="s">
        <v>295</v>
      </c>
      <c r="E787" s="11" t="s">
        <v>296</v>
      </c>
      <c r="F787" s="11" t="s">
        <v>300</v>
      </c>
      <c r="G787" s="11" t="s">
        <v>301</v>
      </c>
      <c r="I787" t="s">
        <v>1756</v>
      </c>
      <c r="K787" t="s">
        <v>301</v>
      </c>
      <c r="L787" t="s">
        <v>295</v>
      </c>
      <c r="M787" t="s">
        <v>296</v>
      </c>
      <c r="N787" t="s">
        <v>2459</v>
      </c>
      <c r="O787" t="s">
        <v>2459</v>
      </c>
      <c r="Q787">
        <f t="shared" si="24"/>
        <v>1</v>
      </c>
      <c r="R787">
        <f t="shared" si="25"/>
        <v>1</v>
      </c>
    </row>
    <row r="788" spans="1:18" x14ac:dyDescent="0.35">
      <c r="A788" s="11" t="s">
        <v>82</v>
      </c>
      <c r="B788" s="11" t="s">
        <v>1757</v>
      </c>
      <c r="C788" s="11" t="s">
        <v>1758</v>
      </c>
      <c r="D788" s="11" t="s">
        <v>295</v>
      </c>
      <c r="E788" s="11" t="s">
        <v>296</v>
      </c>
      <c r="F788" s="11" t="s">
        <v>300</v>
      </c>
      <c r="G788" s="11" t="s">
        <v>301</v>
      </c>
      <c r="I788" t="s">
        <v>1758</v>
      </c>
      <c r="K788" t="s">
        <v>301</v>
      </c>
      <c r="L788" t="s">
        <v>295</v>
      </c>
      <c r="M788" t="s">
        <v>296</v>
      </c>
      <c r="N788" t="s">
        <v>2459</v>
      </c>
      <c r="O788" t="s">
        <v>2459</v>
      </c>
      <c r="Q788">
        <f t="shared" si="24"/>
        <v>1</v>
      </c>
      <c r="R788">
        <f t="shared" si="25"/>
        <v>1</v>
      </c>
    </row>
    <row r="789" spans="1:18" x14ac:dyDescent="0.35">
      <c r="A789" s="11" t="s">
        <v>82</v>
      </c>
      <c r="B789" s="11" t="s">
        <v>1759</v>
      </c>
      <c r="C789" s="11" t="s">
        <v>1760</v>
      </c>
      <c r="D789" s="11" t="s">
        <v>295</v>
      </c>
      <c r="E789" s="11" t="s">
        <v>296</v>
      </c>
      <c r="F789" s="11" t="s">
        <v>300</v>
      </c>
      <c r="G789" s="11" t="s">
        <v>301</v>
      </c>
      <c r="I789" t="s">
        <v>1760</v>
      </c>
      <c r="K789" t="s">
        <v>301</v>
      </c>
      <c r="L789" t="s">
        <v>295</v>
      </c>
      <c r="M789" t="s">
        <v>296</v>
      </c>
      <c r="N789" t="s">
        <v>2459</v>
      </c>
      <c r="O789" t="s">
        <v>2459</v>
      </c>
      <c r="Q789">
        <f t="shared" si="24"/>
        <v>1</v>
      </c>
      <c r="R789">
        <f t="shared" si="25"/>
        <v>1</v>
      </c>
    </row>
    <row r="790" spans="1:18" x14ac:dyDescent="0.35">
      <c r="A790" s="11" t="s">
        <v>82</v>
      </c>
      <c r="B790" s="11" t="s">
        <v>1761</v>
      </c>
      <c r="C790" s="11" t="s">
        <v>1762</v>
      </c>
      <c r="D790" s="11" t="s">
        <v>295</v>
      </c>
      <c r="E790" s="11" t="s">
        <v>296</v>
      </c>
      <c r="F790" s="11" t="s">
        <v>300</v>
      </c>
      <c r="G790" s="11" t="s">
        <v>301</v>
      </c>
      <c r="I790" t="s">
        <v>1762</v>
      </c>
      <c r="K790" t="s">
        <v>301</v>
      </c>
      <c r="L790" t="s">
        <v>295</v>
      </c>
      <c r="M790" t="s">
        <v>296</v>
      </c>
      <c r="N790" t="s">
        <v>2459</v>
      </c>
      <c r="O790" t="s">
        <v>2459</v>
      </c>
      <c r="Q790">
        <f t="shared" si="24"/>
        <v>1</v>
      </c>
      <c r="R790">
        <f t="shared" si="25"/>
        <v>1</v>
      </c>
    </row>
    <row r="791" spans="1:18" x14ac:dyDescent="0.35">
      <c r="A791" s="11" t="s">
        <v>82</v>
      </c>
      <c r="B791" s="11" t="s">
        <v>1763</v>
      </c>
      <c r="C791" s="11" t="s">
        <v>1764</v>
      </c>
      <c r="D791" s="11" t="s">
        <v>295</v>
      </c>
      <c r="E791" s="11" t="s">
        <v>296</v>
      </c>
      <c r="F791" s="11" t="s">
        <v>300</v>
      </c>
      <c r="G791" s="11" t="s">
        <v>301</v>
      </c>
      <c r="I791" t="s">
        <v>1764</v>
      </c>
      <c r="K791" t="s">
        <v>301</v>
      </c>
      <c r="L791" t="s">
        <v>295</v>
      </c>
      <c r="M791" t="s">
        <v>296</v>
      </c>
      <c r="N791" t="s">
        <v>2459</v>
      </c>
      <c r="O791" t="s">
        <v>2459</v>
      </c>
      <c r="Q791">
        <f t="shared" si="24"/>
        <v>1</v>
      </c>
      <c r="R791">
        <f t="shared" si="25"/>
        <v>1</v>
      </c>
    </row>
    <row r="792" spans="1:18" x14ac:dyDescent="0.35">
      <c r="A792" s="11" t="s">
        <v>82</v>
      </c>
      <c r="B792" s="11" t="s">
        <v>1765</v>
      </c>
      <c r="C792" s="11" t="s">
        <v>1766</v>
      </c>
      <c r="D792" s="11" t="s">
        <v>295</v>
      </c>
      <c r="E792" s="11" t="s">
        <v>296</v>
      </c>
      <c r="F792" s="11" t="s">
        <v>300</v>
      </c>
      <c r="G792" s="11" t="s">
        <v>301</v>
      </c>
      <c r="I792" t="s">
        <v>1766</v>
      </c>
      <c r="K792" t="s">
        <v>301</v>
      </c>
      <c r="L792" t="s">
        <v>295</v>
      </c>
      <c r="M792" t="s">
        <v>296</v>
      </c>
      <c r="N792" t="s">
        <v>2459</v>
      </c>
      <c r="O792" t="s">
        <v>2459</v>
      </c>
      <c r="Q792">
        <f t="shared" si="24"/>
        <v>1</v>
      </c>
      <c r="R792">
        <f t="shared" si="25"/>
        <v>1</v>
      </c>
    </row>
    <row r="793" spans="1:18" x14ac:dyDescent="0.35">
      <c r="A793" s="11" t="s">
        <v>82</v>
      </c>
      <c r="B793" s="11" t="s">
        <v>1767</v>
      </c>
      <c r="C793" s="11" t="s">
        <v>1768</v>
      </c>
      <c r="D793" s="11" t="s">
        <v>295</v>
      </c>
      <c r="E793" s="11" t="s">
        <v>296</v>
      </c>
      <c r="F793" s="11" t="s">
        <v>300</v>
      </c>
      <c r="G793" s="11" t="s">
        <v>301</v>
      </c>
      <c r="I793" t="s">
        <v>1768</v>
      </c>
      <c r="K793" t="s">
        <v>301</v>
      </c>
      <c r="L793" t="s">
        <v>295</v>
      </c>
      <c r="M793" t="s">
        <v>296</v>
      </c>
      <c r="N793" t="s">
        <v>2459</v>
      </c>
      <c r="O793" t="s">
        <v>2459</v>
      </c>
      <c r="Q793">
        <f t="shared" si="24"/>
        <v>1</v>
      </c>
      <c r="R793">
        <f t="shared" si="25"/>
        <v>1</v>
      </c>
    </row>
    <row r="794" spans="1:18" x14ac:dyDescent="0.35">
      <c r="A794" s="11" t="s">
        <v>82</v>
      </c>
      <c r="B794" s="11" t="s">
        <v>1769</v>
      </c>
      <c r="C794" s="11" t="s">
        <v>1770</v>
      </c>
      <c r="D794" s="11" t="s">
        <v>295</v>
      </c>
      <c r="E794" s="11" t="s">
        <v>296</v>
      </c>
      <c r="F794" s="11" t="s">
        <v>300</v>
      </c>
      <c r="G794" s="11" t="s">
        <v>301</v>
      </c>
      <c r="I794" t="s">
        <v>1770</v>
      </c>
      <c r="K794" t="s">
        <v>301</v>
      </c>
      <c r="L794" t="s">
        <v>295</v>
      </c>
      <c r="M794" t="s">
        <v>296</v>
      </c>
      <c r="N794" t="s">
        <v>2459</v>
      </c>
      <c r="O794" t="s">
        <v>2459</v>
      </c>
      <c r="Q794">
        <f t="shared" si="24"/>
        <v>1</v>
      </c>
      <c r="R794">
        <f t="shared" si="25"/>
        <v>1</v>
      </c>
    </row>
    <row r="795" spans="1:18" x14ac:dyDescent="0.35">
      <c r="A795" s="11" t="s">
        <v>82</v>
      </c>
      <c r="B795" s="11" t="s">
        <v>1771</v>
      </c>
      <c r="C795" s="11" t="s">
        <v>1772</v>
      </c>
      <c r="D795" s="11" t="s">
        <v>295</v>
      </c>
      <c r="E795" s="11" t="s">
        <v>296</v>
      </c>
      <c r="F795" s="11" t="s">
        <v>300</v>
      </c>
      <c r="G795" s="11" t="s">
        <v>301</v>
      </c>
      <c r="I795" t="s">
        <v>1772</v>
      </c>
      <c r="K795" t="s">
        <v>301</v>
      </c>
      <c r="L795" t="s">
        <v>295</v>
      </c>
      <c r="M795" t="s">
        <v>296</v>
      </c>
      <c r="N795" t="s">
        <v>2459</v>
      </c>
      <c r="O795" t="s">
        <v>2459</v>
      </c>
      <c r="Q795">
        <f t="shared" si="24"/>
        <v>1</v>
      </c>
      <c r="R795">
        <f t="shared" si="25"/>
        <v>1</v>
      </c>
    </row>
    <row r="796" spans="1:18" x14ac:dyDescent="0.35">
      <c r="A796" s="11" t="s">
        <v>82</v>
      </c>
      <c r="B796" s="11" t="s">
        <v>1773</v>
      </c>
      <c r="C796" s="11" t="s">
        <v>1774</v>
      </c>
      <c r="D796" s="11" t="s">
        <v>295</v>
      </c>
      <c r="E796" s="11" t="s">
        <v>296</v>
      </c>
      <c r="F796" s="11" t="s">
        <v>300</v>
      </c>
      <c r="G796" s="11" t="s">
        <v>301</v>
      </c>
      <c r="I796" t="s">
        <v>1774</v>
      </c>
      <c r="K796" t="s">
        <v>55</v>
      </c>
      <c r="L796" t="s">
        <v>295</v>
      </c>
      <c r="M796" t="s">
        <v>296</v>
      </c>
      <c r="N796" t="s">
        <v>2410</v>
      </c>
      <c r="O796" t="s">
        <v>2459</v>
      </c>
      <c r="Q796" t="e">
        <f t="shared" si="24"/>
        <v>#N/A</v>
      </c>
      <c r="R796">
        <f t="shared" si="25"/>
        <v>1</v>
      </c>
    </row>
    <row r="797" spans="1:18" x14ac:dyDescent="0.35">
      <c r="A797" s="11" t="s">
        <v>82</v>
      </c>
      <c r="B797" s="11" t="s">
        <v>1775</v>
      </c>
      <c r="C797" s="11" t="s">
        <v>306</v>
      </c>
      <c r="D797" s="11" t="s">
        <v>303</v>
      </c>
      <c r="E797" s="11" t="s">
        <v>304</v>
      </c>
      <c r="F797" s="11" t="s">
        <v>305</v>
      </c>
      <c r="G797" s="11" t="s">
        <v>306</v>
      </c>
      <c r="I797" t="s">
        <v>306</v>
      </c>
      <c r="K797" t="s">
        <v>306</v>
      </c>
      <c r="L797" t="s">
        <v>303</v>
      </c>
      <c r="M797" t="s">
        <v>304</v>
      </c>
      <c r="N797" t="s">
        <v>2459</v>
      </c>
      <c r="O797" t="s">
        <v>2459</v>
      </c>
      <c r="Q797">
        <f t="shared" si="24"/>
        <v>1</v>
      </c>
      <c r="R797">
        <f t="shared" si="25"/>
        <v>1</v>
      </c>
    </row>
    <row r="798" spans="1:18" x14ac:dyDescent="0.35">
      <c r="A798" s="11" t="s">
        <v>82</v>
      </c>
      <c r="B798" s="11" t="s">
        <v>1776</v>
      </c>
      <c r="C798" s="11" t="s">
        <v>1777</v>
      </c>
      <c r="D798" s="11" t="s">
        <v>303</v>
      </c>
      <c r="E798" s="11" t="s">
        <v>304</v>
      </c>
      <c r="F798" s="11" t="s">
        <v>305</v>
      </c>
      <c r="G798" s="11" t="s">
        <v>306</v>
      </c>
      <c r="I798" t="s">
        <v>1777</v>
      </c>
      <c r="K798" t="s">
        <v>56</v>
      </c>
      <c r="L798" t="s">
        <v>303</v>
      </c>
      <c r="M798" t="s">
        <v>304</v>
      </c>
      <c r="N798" t="s">
        <v>2459</v>
      </c>
      <c r="O798" t="s">
        <v>2459</v>
      </c>
      <c r="Q798" t="e">
        <f t="shared" si="24"/>
        <v>#N/A</v>
      </c>
      <c r="R798">
        <f t="shared" si="25"/>
        <v>1</v>
      </c>
    </row>
    <row r="799" spans="1:18" x14ac:dyDescent="0.35">
      <c r="A799" s="11" t="s">
        <v>82</v>
      </c>
      <c r="B799" s="11" t="s">
        <v>1778</v>
      </c>
      <c r="C799" s="11" t="s">
        <v>1779</v>
      </c>
      <c r="D799" s="11" t="s">
        <v>303</v>
      </c>
      <c r="E799" s="11" t="s">
        <v>304</v>
      </c>
      <c r="F799" s="11" t="s">
        <v>305</v>
      </c>
      <c r="G799" s="11" t="s">
        <v>306</v>
      </c>
      <c r="I799" t="s">
        <v>1779</v>
      </c>
      <c r="K799" t="s">
        <v>306</v>
      </c>
      <c r="L799" t="s">
        <v>303</v>
      </c>
      <c r="M799" t="s">
        <v>304</v>
      </c>
      <c r="N799" t="s">
        <v>2459</v>
      </c>
      <c r="O799" t="s">
        <v>2459</v>
      </c>
      <c r="Q799">
        <f t="shared" si="24"/>
        <v>1</v>
      </c>
      <c r="R799">
        <f t="shared" si="25"/>
        <v>1</v>
      </c>
    </row>
    <row r="800" spans="1:18" x14ac:dyDescent="0.35">
      <c r="A800" s="11" t="s">
        <v>82</v>
      </c>
      <c r="B800" s="11" t="s">
        <v>1780</v>
      </c>
      <c r="C800" s="11" t="s">
        <v>1781</v>
      </c>
      <c r="D800" s="11" t="s">
        <v>303</v>
      </c>
      <c r="E800" s="11" t="s">
        <v>304</v>
      </c>
      <c r="F800" s="11" t="s">
        <v>305</v>
      </c>
      <c r="G800" s="11" t="s">
        <v>306</v>
      </c>
      <c r="I800" t="s">
        <v>1781</v>
      </c>
      <c r="K800" t="s">
        <v>56</v>
      </c>
      <c r="L800" t="s">
        <v>303</v>
      </c>
      <c r="M800" t="s">
        <v>304</v>
      </c>
      <c r="N800" t="s">
        <v>2410</v>
      </c>
      <c r="O800" t="s">
        <v>2459</v>
      </c>
      <c r="Q800" t="e">
        <f t="shared" si="24"/>
        <v>#N/A</v>
      </c>
      <c r="R800">
        <f t="shared" si="25"/>
        <v>1</v>
      </c>
    </row>
    <row r="801" spans="1:18" x14ac:dyDescent="0.35">
      <c r="A801" s="11"/>
      <c r="B801" s="11"/>
      <c r="C801" s="11"/>
      <c r="D801" s="11"/>
      <c r="E801" s="11"/>
      <c r="F801" s="11"/>
      <c r="G801" s="11"/>
      <c r="I801" t="s">
        <v>2182</v>
      </c>
      <c r="K801" t="s">
        <v>306</v>
      </c>
      <c r="L801" t="s">
        <v>303</v>
      </c>
      <c r="M801" t="s">
        <v>304</v>
      </c>
      <c r="P801" t="s">
        <v>2292</v>
      </c>
      <c r="Q801" t="e">
        <f t="shared" si="24"/>
        <v>#N/A</v>
      </c>
      <c r="R801" t="e">
        <f t="shared" si="25"/>
        <v>#N/A</v>
      </c>
    </row>
    <row r="802" spans="1:18" x14ac:dyDescent="0.35">
      <c r="A802" s="11"/>
      <c r="B802" s="11"/>
      <c r="C802" s="11"/>
      <c r="D802" s="11"/>
      <c r="E802" s="11"/>
      <c r="F802" s="11"/>
      <c r="G802" s="11"/>
      <c r="I802" t="s">
        <v>2183</v>
      </c>
      <c r="K802" t="s">
        <v>306</v>
      </c>
      <c r="L802" t="s">
        <v>303</v>
      </c>
      <c r="M802" t="s">
        <v>304</v>
      </c>
      <c r="P802" t="s">
        <v>2293</v>
      </c>
      <c r="Q802" t="e">
        <f t="shared" si="24"/>
        <v>#N/A</v>
      </c>
      <c r="R802" t="e">
        <f t="shared" si="25"/>
        <v>#N/A</v>
      </c>
    </row>
    <row r="803" spans="1:18" x14ac:dyDescent="0.35">
      <c r="A803" s="11"/>
      <c r="B803" s="11"/>
      <c r="C803" s="11"/>
      <c r="D803" s="11"/>
      <c r="E803" s="11"/>
      <c r="F803" s="11"/>
      <c r="G803" s="11"/>
      <c r="I803" t="s">
        <v>2242</v>
      </c>
      <c r="K803" t="s">
        <v>306</v>
      </c>
      <c r="L803" t="s">
        <v>303</v>
      </c>
      <c r="M803" t="s">
        <v>304</v>
      </c>
      <c r="P803" t="s">
        <v>2292</v>
      </c>
      <c r="Q803" t="e">
        <f t="shared" si="24"/>
        <v>#N/A</v>
      </c>
      <c r="R803" t="e">
        <f t="shared" si="25"/>
        <v>#N/A</v>
      </c>
    </row>
    <row r="804" spans="1:18" x14ac:dyDescent="0.35">
      <c r="A804" s="11"/>
      <c r="B804" s="11"/>
      <c r="C804" s="11"/>
      <c r="D804" s="11"/>
      <c r="E804" s="11"/>
      <c r="F804" s="11"/>
      <c r="G804" s="11"/>
      <c r="I804" t="s">
        <v>2264</v>
      </c>
      <c r="K804" t="s">
        <v>56</v>
      </c>
      <c r="L804" t="s">
        <v>303</v>
      </c>
      <c r="M804" t="s">
        <v>304</v>
      </c>
      <c r="N804" t="s">
        <v>2410</v>
      </c>
      <c r="O804" t="s">
        <v>2459</v>
      </c>
      <c r="P804" t="s">
        <v>2292</v>
      </c>
      <c r="Q804" t="e">
        <f t="shared" si="24"/>
        <v>#N/A</v>
      </c>
      <c r="R804" t="e">
        <f t="shared" si="25"/>
        <v>#N/A</v>
      </c>
    </row>
    <row r="805" spans="1:18" x14ac:dyDescent="0.35">
      <c r="A805" s="11"/>
      <c r="B805" s="11"/>
      <c r="C805" s="11"/>
      <c r="D805" s="11"/>
      <c r="E805" s="11"/>
      <c r="F805" s="11"/>
      <c r="G805" s="11"/>
      <c r="I805" t="s">
        <v>2264</v>
      </c>
      <c r="K805" t="s">
        <v>56</v>
      </c>
      <c r="L805" t="s">
        <v>303</v>
      </c>
      <c r="M805" t="s">
        <v>304</v>
      </c>
      <c r="N805" t="s">
        <v>2410</v>
      </c>
      <c r="O805" t="s">
        <v>2459</v>
      </c>
      <c r="P805" t="s">
        <v>2292</v>
      </c>
      <c r="Q805" t="e">
        <f t="shared" si="24"/>
        <v>#N/A</v>
      </c>
      <c r="R805" t="e">
        <f t="shared" si="25"/>
        <v>#N/A</v>
      </c>
    </row>
    <row r="806" spans="1:18" x14ac:dyDescent="0.35">
      <c r="A806" s="11"/>
      <c r="B806" s="11"/>
      <c r="C806" s="11"/>
      <c r="D806" s="11"/>
      <c r="E806" s="11"/>
      <c r="F806" s="11"/>
      <c r="G806" s="11"/>
      <c r="I806" t="s">
        <v>2264</v>
      </c>
      <c r="K806" t="s">
        <v>56</v>
      </c>
      <c r="L806" t="s">
        <v>303</v>
      </c>
      <c r="M806" t="s">
        <v>304</v>
      </c>
      <c r="N806" t="s">
        <v>2410</v>
      </c>
      <c r="O806" t="s">
        <v>2459</v>
      </c>
      <c r="P806" t="s">
        <v>2292</v>
      </c>
      <c r="Q806" t="e">
        <f t="shared" si="24"/>
        <v>#N/A</v>
      </c>
      <c r="R806" t="e">
        <f t="shared" si="25"/>
        <v>#N/A</v>
      </c>
    </row>
    <row r="807" spans="1:18" x14ac:dyDescent="0.35">
      <c r="A807" s="11"/>
      <c r="B807" s="11"/>
      <c r="C807" s="11"/>
      <c r="D807" s="11"/>
      <c r="E807" s="11"/>
      <c r="F807" s="11"/>
      <c r="G807" s="11"/>
      <c r="I807" t="s">
        <v>2184</v>
      </c>
      <c r="K807" t="s">
        <v>56</v>
      </c>
      <c r="L807" t="s">
        <v>303</v>
      </c>
      <c r="M807" t="s">
        <v>304</v>
      </c>
      <c r="N807" t="s">
        <v>2410</v>
      </c>
      <c r="O807" t="s">
        <v>2459</v>
      </c>
      <c r="P807" t="s">
        <v>2293</v>
      </c>
      <c r="Q807" t="e">
        <f t="shared" si="24"/>
        <v>#N/A</v>
      </c>
      <c r="R807" t="e">
        <f t="shared" si="25"/>
        <v>#N/A</v>
      </c>
    </row>
    <row r="808" spans="1:18" x14ac:dyDescent="0.35">
      <c r="A808" s="11"/>
      <c r="B808" s="11"/>
      <c r="C808" s="11"/>
      <c r="D808" s="11"/>
      <c r="E808" s="11"/>
      <c r="F808" s="11"/>
      <c r="G808" s="11"/>
      <c r="I808" t="s">
        <v>2185</v>
      </c>
      <c r="K808" t="s">
        <v>56</v>
      </c>
      <c r="L808" t="s">
        <v>303</v>
      </c>
      <c r="M808" t="s">
        <v>304</v>
      </c>
      <c r="N808" t="s">
        <v>2410</v>
      </c>
      <c r="O808" t="s">
        <v>2459</v>
      </c>
      <c r="P808" t="s">
        <v>2293</v>
      </c>
      <c r="Q808" t="e">
        <f t="shared" si="24"/>
        <v>#N/A</v>
      </c>
      <c r="R808" t="e">
        <f t="shared" si="25"/>
        <v>#N/A</v>
      </c>
    </row>
    <row r="809" spans="1:18" x14ac:dyDescent="0.35">
      <c r="A809" s="11"/>
      <c r="B809" s="11"/>
      <c r="C809" s="11"/>
      <c r="D809" s="11"/>
      <c r="E809" s="11"/>
      <c r="F809" s="11"/>
      <c r="G809" s="11"/>
      <c r="I809" t="s">
        <v>2186</v>
      </c>
      <c r="K809" t="s">
        <v>56</v>
      </c>
      <c r="L809" t="s">
        <v>303</v>
      </c>
      <c r="M809" t="s">
        <v>304</v>
      </c>
      <c r="N809" t="s">
        <v>2410</v>
      </c>
      <c r="O809" t="s">
        <v>2459</v>
      </c>
      <c r="P809" t="s">
        <v>2293</v>
      </c>
      <c r="Q809" t="e">
        <f t="shared" si="24"/>
        <v>#N/A</v>
      </c>
      <c r="R809" t="e">
        <f t="shared" si="25"/>
        <v>#N/A</v>
      </c>
    </row>
    <row r="810" spans="1:18" x14ac:dyDescent="0.35">
      <c r="A810" s="11"/>
      <c r="B810" s="11"/>
      <c r="C810" s="11"/>
      <c r="D810" s="11"/>
      <c r="E810" s="11"/>
      <c r="F810" s="11"/>
      <c r="G810" s="11"/>
      <c r="I810" t="s">
        <v>2264</v>
      </c>
      <c r="K810" t="s">
        <v>56</v>
      </c>
      <c r="L810" t="s">
        <v>303</v>
      </c>
      <c r="M810" t="s">
        <v>304</v>
      </c>
      <c r="N810" t="s">
        <v>2410</v>
      </c>
      <c r="O810" t="s">
        <v>2459</v>
      </c>
      <c r="P810" t="s">
        <v>2292</v>
      </c>
      <c r="Q810" t="e">
        <f t="shared" si="24"/>
        <v>#N/A</v>
      </c>
      <c r="R810" t="e">
        <f t="shared" si="25"/>
        <v>#N/A</v>
      </c>
    </row>
    <row r="811" spans="1:18" x14ac:dyDescent="0.35">
      <c r="A811" s="11"/>
      <c r="B811" s="11"/>
      <c r="C811" s="11"/>
      <c r="D811" s="11"/>
      <c r="E811" s="11"/>
      <c r="F811" s="11"/>
      <c r="G811" s="11"/>
      <c r="I811" t="s">
        <v>2264</v>
      </c>
      <c r="K811" t="s">
        <v>56</v>
      </c>
      <c r="L811" t="s">
        <v>303</v>
      </c>
      <c r="M811" t="s">
        <v>304</v>
      </c>
      <c r="N811" t="s">
        <v>2410</v>
      </c>
      <c r="O811" t="s">
        <v>2459</v>
      </c>
      <c r="P811" t="s">
        <v>2292</v>
      </c>
      <c r="Q811" t="e">
        <f t="shared" si="24"/>
        <v>#N/A</v>
      </c>
      <c r="R811" t="e">
        <f t="shared" si="25"/>
        <v>#N/A</v>
      </c>
    </row>
    <row r="812" spans="1:18" x14ac:dyDescent="0.35">
      <c r="A812" s="11"/>
      <c r="B812" s="11"/>
      <c r="C812" s="11"/>
      <c r="D812" s="11"/>
      <c r="E812" s="11"/>
      <c r="F812" s="11"/>
      <c r="G812" s="11"/>
      <c r="I812" t="s">
        <v>2264</v>
      </c>
      <c r="K812" t="s">
        <v>56</v>
      </c>
      <c r="L812" t="s">
        <v>303</v>
      </c>
      <c r="M812" t="s">
        <v>304</v>
      </c>
      <c r="N812" t="s">
        <v>2410</v>
      </c>
      <c r="O812" t="s">
        <v>2459</v>
      </c>
      <c r="P812" t="s">
        <v>2292</v>
      </c>
      <c r="Q812" t="e">
        <f t="shared" si="24"/>
        <v>#N/A</v>
      </c>
      <c r="R812" t="e">
        <f t="shared" si="25"/>
        <v>#N/A</v>
      </c>
    </row>
    <row r="813" spans="1:18" x14ac:dyDescent="0.35">
      <c r="A813" s="11"/>
      <c r="B813" s="11"/>
      <c r="C813" s="11"/>
      <c r="D813" s="11"/>
      <c r="E813" s="11"/>
      <c r="F813" s="11"/>
      <c r="G813" s="11"/>
      <c r="I813" t="s">
        <v>2264</v>
      </c>
      <c r="K813" t="s">
        <v>56</v>
      </c>
      <c r="L813" t="s">
        <v>303</v>
      </c>
      <c r="M813" t="s">
        <v>304</v>
      </c>
      <c r="N813" t="s">
        <v>2410</v>
      </c>
      <c r="O813" t="s">
        <v>2459</v>
      </c>
      <c r="P813" t="s">
        <v>2292</v>
      </c>
      <c r="Q813" t="e">
        <f t="shared" si="24"/>
        <v>#N/A</v>
      </c>
      <c r="R813" t="e">
        <f t="shared" si="25"/>
        <v>#N/A</v>
      </c>
    </row>
    <row r="814" spans="1:18" x14ac:dyDescent="0.35">
      <c r="A814" s="11" t="s">
        <v>82</v>
      </c>
      <c r="B814" s="11" t="s">
        <v>1782</v>
      </c>
      <c r="C814" s="11" t="s">
        <v>1783</v>
      </c>
      <c r="D814" s="11" t="s">
        <v>303</v>
      </c>
      <c r="E814" s="11" t="s">
        <v>304</v>
      </c>
      <c r="F814" s="11" t="s">
        <v>308</v>
      </c>
      <c r="G814" s="11" t="s">
        <v>309</v>
      </c>
      <c r="I814" t="s">
        <v>1783</v>
      </c>
      <c r="K814" t="s">
        <v>309</v>
      </c>
      <c r="L814" t="s">
        <v>303</v>
      </c>
      <c r="M814" t="s">
        <v>304</v>
      </c>
      <c r="N814" t="s">
        <v>2459</v>
      </c>
      <c r="O814" t="s">
        <v>2459</v>
      </c>
      <c r="Q814">
        <f t="shared" si="24"/>
        <v>1</v>
      </c>
      <c r="R814">
        <f t="shared" si="25"/>
        <v>1</v>
      </c>
    </row>
    <row r="815" spans="1:18" x14ac:dyDescent="0.35">
      <c r="A815" s="11" t="s">
        <v>82</v>
      </c>
      <c r="B815" s="11" t="s">
        <v>1784</v>
      </c>
      <c r="C815" s="11" t="s">
        <v>1785</v>
      </c>
      <c r="D815" s="11" t="s">
        <v>303</v>
      </c>
      <c r="E815" s="11" t="s">
        <v>304</v>
      </c>
      <c r="F815" s="11" t="s">
        <v>308</v>
      </c>
      <c r="G815" s="11" t="s">
        <v>309</v>
      </c>
      <c r="I815" t="s">
        <v>1785</v>
      </c>
      <c r="K815" t="s">
        <v>309</v>
      </c>
      <c r="L815" t="s">
        <v>303</v>
      </c>
      <c r="M815" t="s">
        <v>304</v>
      </c>
      <c r="N815" t="s">
        <v>2459</v>
      </c>
      <c r="O815" t="s">
        <v>2459</v>
      </c>
      <c r="Q815">
        <f t="shared" si="24"/>
        <v>1</v>
      </c>
      <c r="R815">
        <f t="shared" si="25"/>
        <v>1</v>
      </c>
    </row>
    <row r="816" spans="1:18" x14ac:dyDescent="0.35">
      <c r="A816" s="11" t="s">
        <v>82</v>
      </c>
      <c r="B816" s="11" t="s">
        <v>1786</v>
      </c>
      <c r="C816" s="11" t="s">
        <v>1787</v>
      </c>
      <c r="D816" s="11" t="s">
        <v>303</v>
      </c>
      <c r="E816" s="11" t="s">
        <v>304</v>
      </c>
      <c r="F816" s="11" t="s">
        <v>308</v>
      </c>
      <c r="G816" s="11" t="s">
        <v>309</v>
      </c>
      <c r="I816" t="s">
        <v>1787</v>
      </c>
      <c r="K816" t="s">
        <v>309</v>
      </c>
      <c r="L816" t="s">
        <v>303</v>
      </c>
      <c r="M816" t="s">
        <v>304</v>
      </c>
      <c r="N816" t="s">
        <v>2459</v>
      </c>
      <c r="O816" t="s">
        <v>2459</v>
      </c>
      <c r="Q816">
        <f t="shared" si="24"/>
        <v>1</v>
      </c>
      <c r="R816">
        <f t="shared" si="25"/>
        <v>1</v>
      </c>
    </row>
    <row r="817" spans="1:18" x14ac:dyDescent="0.35">
      <c r="A817" s="11" t="s">
        <v>82</v>
      </c>
      <c r="B817" s="11" t="s">
        <v>1788</v>
      </c>
      <c r="C817" s="11" t="s">
        <v>309</v>
      </c>
      <c r="D817" s="11" t="s">
        <v>303</v>
      </c>
      <c r="E817" s="11" t="s">
        <v>304</v>
      </c>
      <c r="F817" s="11" t="s">
        <v>308</v>
      </c>
      <c r="G817" s="11" t="s">
        <v>309</v>
      </c>
      <c r="I817" t="s">
        <v>309</v>
      </c>
      <c r="K817" t="s">
        <v>309</v>
      </c>
      <c r="L817" t="s">
        <v>303</v>
      </c>
      <c r="M817" t="s">
        <v>304</v>
      </c>
      <c r="N817" t="s">
        <v>2459</v>
      </c>
      <c r="O817" t="s">
        <v>2459</v>
      </c>
      <c r="Q817">
        <f t="shared" si="24"/>
        <v>1</v>
      </c>
      <c r="R817">
        <f t="shared" si="25"/>
        <v>1</v>
      </c>
    </row>
    <row r="818" spans="1:18" x14ac:dyDescent="0.35">
      <c r="A818" s="11" t="s">
        <v>82</v>
      </c>
      <c r="B818" s="11" t="s">
        <v>1789</v>
      </c>
      <c r="C818" s="11" t="s">
        <v>1790</v>
      </c>
      <c r="D818" s="11" t="s">
        <v>303</v>
      </c>
      <c r="E818" s="11" t="s">
        <v>304</v>
      </c>
      <c r="F818" s="11" t="s">
        <v>308</v>
      </c>
      <c r="G818" s="11" t="s">
        <v>309</v>
      </c>
      <c r="I818" t="s">
        <v>1790</v>
      </c>
      <c r="K818" t="s">
        <v>309</v>
      </c>
      <c r="L818" t="s">
        <v>303</v>
      </c>
      <c r="M818" t="s">
        <v>304</v>
      </c>
      <c r="N818" t="s">
        <v>2459</v>
      </c>
      <c r="O818" t="s">
        <v>2459</v>
      </c>
      <c r="Q818">
        <f t="shared" si="24"/>
        <v>1</v>
      </c>
      <c r="R818">
        <f t="shared" si="25"/>
        <v>1</v>
      </c>
    </row>
    <row r="819" spans="1:18" x14ac:dyDescent="0.35">
      <c r="A819" s="11" t="s">
        <v>82</v>
      </c>
      <c r="B819" s="11" t="s">
        <v>1791</v>
      </c>
      <c r="C819" s="11" t="s">
        <v>1346</v>
      </c>
      <c r="D819" s="11" t="s">
        <v>303</v>
      </c>
      <c r="E819" s="11" t="s">
        <v>304</v>
      </c>
      <c r="F819" s="11" t="s">
        <v>308</v>
      </c>
      <c r="G819" s="11" t="s">
        <v>309</v>
      </c>
      <c r="I819" t="s">
        <v>1346</v>
      </c>
      <c r="K819" t="s">
        <v>309</v>
      </c>
      <c r="L819" t="s">
        <v>303</v>
      </c>
      <c r="M819" t="s">
        <v>304</v>
      </c>
      <c r="N819" t="s">
        <v>2459</v>
      </c>
      <c r="O819" t="s">
        <v>2459</v>
      </c>
      <c r="Q819">
        <f t="shared" si="24"/>
        <v>1</v>
      </c>
      <c r="R819">
        <f t="shared" si="25"/>
        <v>1</v>
      </c>
    </row>
    <row r="820" spans="1:18" x14ac:dyDescent="0.35">
      <c r="A820" s="11" t="s">
        <v>82</v>
      </c>
      <c r="B820" s="11" t="s">
        <v>1792</v>
      </c>
      <c r="C820" s="11" t="s">
        <v>1742</v>
      </c>
      <c r="D820" s="11" t="s">
        <v>303</v>
      </c>
      <c r="E820" s="11" t="s">
        <v>304</v>
      </c>
      <c r="F820" s="11" t="s">
        <v>308</v>
      </c>
      <c r="G820" s="11" t="s">
        <v>309</v>
      </c>
      <c r="I820" t="s">
        <v>1742</v>
      </c>
      <c r="K820" t="s">
        <v>309</v>
      </c>
      <c r="L820" t="s">
        <v>303</v>
      </c>
      <c r="M820" t="s">
        <v>304</v>
      </c>
      <c r="N820" t="s">
        <v>2459</v>
      </c>
      <c r="O820" t="s">
        <v>2459</v>
      </c>
      <c r="Q820">
        <f t="shared" si="24"/>
        <v>1</v>
      </c>
      <c r="R820">
        <f t="shared" si="25"/>
        <v>1</v>
      </c>
    </row>
    <row r="821" spans="1:18" x14ac:dyDescent="0.35">
      <c r="A821" s="11" t="s">
        <v>82</v>
      </c>
      <c r="B821" s="11" t="s">
        <v>1793</v>
      </c>
      <c r="C821" s="11" t="s">
        <v>1794</v>
      </c>
      <c r="D821" s="11" t="s">
        <v>303</v>
      </c>
      <c r="E821" s="11" t="s">
        <v>304</v>
      </c>
      <c r="F821" s="11" t="s">
        <v>311</v>
      </c>
      <c r="G821" s="11" t="s">
        <v>312</v>
      </c>
      <c r="I821" t="s">
        <v>1794</v>
      </c>
      <c r="K821" t="s">
        <v>56</v>
      </c>
      <c r="L821" t="s">
        <v>303</v>
      </c>
      <c r="M821" t="s">
        <v>304</v>
      </c>
      <c r="N821" t="s">
        <v>2410</v>
      </c>
      <c r="O821" t="s">
        <v>2459</v>
      </c>
      <c r="Q821" t="e">
        <f t="shared" si="24"/>
        <v>#N/A</v>
      </c>
      <c r="R821">
        <f t="shared" si="25"/>
        <v>1</v>
      </c>
    </row>
    <row r="822" spans="1:18" x14ac:dyDescent="0.35">
      <c r="A822" s="11" t="s">
        <v>82</v>
      </c>
      <c r="B822" s="11" t="s">
        <v>1795</v>
      </c>
      <c r="C822" s="11" t="s">
        <v>304</v>
      </c>
      <c r="D822" s="11" t="s">
        <v>303</v>
      </c>
      <c r="E822" s="11" t="s">
        <v>304</v>
      </c>
      <c r="F822" s="11" t="s">
        <v>311</v>
      </c>
      <c r="G822" s="11" t="s">
        <v>312</v>
      </c>
      <c r="I822" t="s">
        <v>304</v>
      </c>
      <c r="K822" t="s">
        <v>312</v>
      </c>
      <c r="L822" t="s">
        <v>303</v>
      </c>
      <c r="M822" t="s">
        <v>304</v>
      </c>
      <c r="N822" t="s">
        <v>2459</v>
      </c>
      <c r="O822" t="s">
        <v>2459</v>
      </c>
      <c r="Q822">
        <f t="shared" si="24"/>
        <v>1</v>
      </c>
      <c r="R822">
        <f t="shared" si="25"/>
        <v>1</v>
      </c>
    </row>
    <row r="823" spans="1:18" x14ac:dyDescent="0.35">
      <c r="A823" s="11" t="s">
        <v>82</v>
      </c>
      <c r="B823" s="11" t="s">
        <v>1796</v>
      </c>
      <c r="C823" s="11" t="s">
        <v>1797</v>
      </c>
      <c r="D823" s="11" t="s">
        <v>303</v>
      </c>
      <c r="E823" s="11" t="s">
        <v>304</v>
      </c>
      <c r="F823" s="11" t="s">
        <v>311</v>
      </c>
      <c r="G823" s="11" t="s">
        <v>312</v>
      </c>
      <c r="I823" t="s">
        <v>1797</v>
      </c>
      <c r="K823" t="s">
        <v>312</v>
      </c>
      <c r="L823" t="s">
        <v>303</v>
      </c>
      <c r="M823" t="s">
        <v>304</v>
      </c>
      <c r="N823" t="s">
        <v>2459</v>
      </c>
      <c r="O823" t="s">
        <v>2459</v>
      </c>
      <c r="Q823">
        <f t="shared" si="24"/>
        <v>1</v>
      </c>
      <c r="R823">
        <f t="shared" si="25"/>
        <v>1</v>
      </c>
    </row>
    <row r="824" spans="1:18" x14ac:dyDescent="0.35">
      <c r="A824" s="11" t="s">
        <v>82</v>
      </c>
      <c r="B824" s="11" t="s">
        <v>1798</v>
      </c>
      <c r="C824" s="11" t="s">
        <v>1799</v>
      </c>
      <c r="D824" s="11" t="s">
        <v>303</v>
      </c>
      <c r="E824" s="11" t="s">
        <v>304</v>
      </c>
      <c r="F824" s="11" t="s">
        <v>311</v>
      </c>
      <c r="G824" s="11" t="s">
        <v>312</v>
      </c>
      <c r="I824" t="s">
        <v>1799</v>
      </c>
      <c r="K824" t="s">
        <v>312</v>
      </c>
      <c r="L824" t="s">
        <v>303</v>
      </c>
      <c r="M824" t="s">
        <v>304</v>
      </c>
      <c r="N824" t="s">
        <v>2459</v>
      </c>
      <c r="O824" t="s">
        <v>2459</v>
      </c>
      <c r="Q824">
        <f t="shared" si="24"/>
        <v>1</v>
      </c>
      <c r="R824">
        <f t="shared" si="25"/>
        <v>1</v>
      </c>
    </row>
    <row r="825" spans="1:18" x14ac:dyDescent="0.35">
      <c r="A825" s="11" t="s">
        <v>82</v>
      </c>
      <c r="B825" s="11" t="s">
        <v>1800</v>
      </c>
      <c r="C825" s="11" t="s">
        <v>1801</v>
      </c>
      <c r="D825" s="11" t="s">
        <v>303</v>
      </c>
      <c r="E825" s="11" t="s">
        <v>304</v>
      </c>
      <c r="F825" s="11" t="s">
        <v>311</v>
      </c>
      <c r="G825" s="11" t="s">
        <v>312</v>
      </c>
      <c r="I825" t="s">
        <v>1801</v>
      </c>
      <c r="K825" t="s">
        <v>312</v>
      </c>
      <c r="L825" t="s">
        <v>303</v>
      </c>
      <c r="M825" t="s">
        <v>304</v>
      </c>
      <c r="N825" t="s">
        <v>2459</v>
      </c>
      <c r="O825" t="s">
        <v>2459</v>
      </c>
      <c r="Q825">
        <f t="shared" si="24"/>
        <v>1</v>
      </c>
      <c r="R825">
        <f t="shared" si="25"/>
        <v>1</v>
      </c>
    </row>
    <row r="826" spans="1:18" x14ac:dyDescent="0.35">
      <c r="A826" s="11" t="s">
        <v>82</v>
      </c>
      <c r="B826" s="11" t="s">
        <v>1802</v>
      </c>
      <c r="C826" s="11" t="s">
        <v>1803</v>
      </c>
      <c r="D826" s="11" t="s">
        <v>303</v>
      </c>
      <c r="E826" s="11" t="s">
        <v>304</v>
      </c>
      <c r="F826" s="11" t="s">
        <v>311</v>
      </c>
      <c r="G826" s="11" t="s">
        <v>312</v>
      </c>
      <c r="I826" t="s">
        <v>1803</v>
      </c>
      <c r="K826" t="s">
        <v>56</v>
      </c>
      <c r="L826" t="s">
        <v>303</v>
      </c>
      <c r="M826" t="s">
        <v>304</v>
      </c>
      <c r="N826" t="s">
        <v>2410</v>
      </c>
      <c r="O826" t="s">
        <v>2459</v>
      </c>
      <c r="Q826" t="e">
        <f t="shared" si="24"/>
        <v>#N/A</v>
      </c>
      <c r="R826">
        <f t="shared" si="25"/>
        <v>1</v>
      </c>
    </row>
    <row r="827" spans="1:18" x14ac:dyDescent="0.35">
      <c r="A827" s="11" t="s">
        <v>82</v>
      </c>
      <c r="B827" s="11" t="s">
        <v>1804</v>
      </c>
      <c r="C827" s="11" t="s">
        <v>1805</v>
      </c>
      <c r="D827" s="11" t="s">
        <v>303</v>
      </c>
      <c r="E827" s="11" t="s">
        <v>304</v>
      </c>
      <c r="F827" s="11" t="s">
        <v>311</v>
      </c>
      <c r="G827" s="11" t="s">
        <v>312</v>
      </c>
      <c r="I827" t="s">
        <v>1805</v>
      </c>
      <c r="K827" t="s">
        <v>312</v>
      </c>
      <c r="L827" t="s">
        <v>303</v>
      </c>
      <c r="M827" t="s">
        <v>304</v>
      </c>
      <c r="N827" t="s">
        <v>2459</v>
      </c>
      <c r="O827" t="s">
        <v>2459</v>
      </c>
      <c r="Q827">
        <f t="shared" si="24"/>
        <v>1</v>
      </c>
      <c r="R827">
        <f t="shared" si="25"/>
        <v>1</v>
      </c>
    </row>
    <row r="828" spans="1:18" x14ac:dyDescent="0.35">
      <c r="A828" s="11" t="s">
        <v>82</v>
      </c>
      <c r="B828" s="11" t="s">
        <v>1806</v>
      </c>
      <c r="C828" s="11" t="s">
        <v>1807</v>
      </c>
      <c r="D828" s="11" t="s">
        <v>303</v>
      </c>
      <c r="E828" s="11" t="s">
        <v>304</v>
      </c>
      <c r="F828" s="11" t="s">
        <v>311</v>
      </c>
      <c r="G828" s="11" t="s">
        <v>312</v>
      </c>
      <c r="I828" t="s">
        <v>1807</v>
      </c>
      <c r="K828" t="s">
        <v>312</v>
      </c>
      <c r="L828" t="s">
        <v>303</v>
      </c>
      <c r="M828" t="s">
        <v>304</v>
      </c>
      <c r="N828" t="s">
        <v>2459</v>
      </c>
      <c r="O828" t="s">
        <v>2459</v>
      </c>
      <c r="Q828">
        <f t="shared" si="24"/>
        <v>1</v>
      </c>
      <c r="R828">
        <f t="shared" si="25"/>
        <v>1</v>
      </c>
    </row>
    <row r="829" spans="1:18" x14ac:dyDescent="0.35">
      <c r="A829" s="11" t="s">
        <v>82</v>
      </c>
      <c r="B829" s="11" t="s">
        <v>1808</v>
      </c>
      <c r="C829" s="11" t="s">
        <v>1809</v>
      </c>
      <c r="D829" s="11" t="s">
        <v>314</v>
      </c>
      <c r="E829" s="11" t="s">
        <v>315</v>
      </c>
      <c r="F829" s="11" t="s">
        <v>316</v>
      </c>
      <c r="G829" s="11" t="s">
        <v>317</v>
      </c>
      <c r="I829" t="s">
        <v>1809</v>
      </c>
      <c r="K829" t="s">
        <v>317</v>
      </c>
      <c r="L829" t="s">
        <v>314</v>
      </c>
      <c r="M829" t="s">
        <v>315</v>
      </c>
      <c r="N829" t="s">
        <v>2459</v>
      </c>
      <c r="O829" t="s">
        <v>2459</v>
      </c>
      <c r="Q829">
        <f t="shared" si="24"/>
        <v>1</v>
      </c>
      <c r="R829">
        <f t="shared" si="25"/>
        <v>1</v>
      </c>
    </row>
    <row r="830" spans="1:18" x14ac:dyDescent="0.35">
      <c r="A830" s="11" t="s">
        <v>82</v>
      </c>
      <c r="B830" s="11" t="s">
        <v>1810</v>
      </c>
      <c r="C830" s="11" t="s">
        <v>1811</v>
      </c>
      <c r="D830" s="11" t="s">
        <v>314</v>
      </c>
      <c r="E830" s="11" t="s">
        <v>315</v>
      </c>
      <c r="F830" s="11" t="s">
        <v>316</v>
      </c>
      <c r="G830" s="11" t="s">
        <v>317</v>
      </c>
      <c r="I830" t="s">
        <v>1811</v>
      </c>
      <c r="K830" t="s">
        <v>317</v>
      </c>
      <c r="L830" t="s">
        <v>314</v>
      </c>
      <c r="M830" t="s">
        <v>315</v>
      </c>
      <c r="N830" t="s">
        <v>2459</v>
      </c>
      <c r="O830" t="s">
        <v>2459</v>
      </c>
      <c r="Q830">
        <f t="shared" si="24"/>
        <v>1</v>
      </c>
      <c r="R830">
        <f t="shared" si="25"/>
        <v>1</v>
      </c>
    </row>
    <row r="831" spans="1:18" x14ac:dyDescent="0.35">
      <c r="A831" s="11" t="s">
        <v>82</v>
      </c>
      <c r="B831" s="11" t="s">
        <v>1812</v>
      </c>
      <c r="C831" s="11" t="s">
        <v>1813</v>
      </c>
      <c r="D831" s="11" t="s">
        <v>314</v>
      </c>
      <c r="E831" s="11" t="s">
        <v>315</v>
      </c>
      <c r="F831" s="11" t="s">
        <v>316</v>
      </c>
      <c r="G831" s="11" t="s">
        <v>317</v>
      </c>
      <c r="I831" t="s">
        <v>1813</v>
      </c>
      <c r="K831" t="s">
        <v>317</v>
      </c>
      <c r="L831" t="s">
        <v>314</v>
      </c>
      <c r="M831" t="s">
        <v>315</v>
      </c>
      <c r="N831" t="s">
        <v>2459</v>
      </c>
      <c r="O831" t="s">
        <v>2459</v>
      </c>
      <c r="Q831">
        <f t="shared" si="24"/>
        <v>1</v>
      </c>
      <c r="R831">
        <f t="shared" si="25"/>
        <v>1</v>
      </c>
    </row>
    <row r="832" spans="1:18" x14ac:dyDescent="0.35">
      <c r="A832" s="11" t="s">
        <v>82</v>
      </c>
      <c r="B832" s="11" t="s">
        <v>1814</v>
      </c>
      <c r="C832" s="11" t="s">
        <v>317</v>
      </c>
      <c r="D832" s="11" t="s">
        <v>314</v>
      </c>
      <c r="E832" s="11" t="s">
        <v>315</v>
      </c>
      <c r="F832" s="11" t="s">
        <v>316</v>
      </c>
      <c r="G832" s="11" t="s">
        <v>317</v>
      </c>
      <c r="I832" t="s">
        <v>317</v>
      </c>
      <c r="K832" t="s">
        <v>317</v>
      </c>
      <c r="L832" t="s">
        <v>314</v>
      </c>
      <c r="M832" t="s">
        <v>315</v>
      </c>
      <c r="N832" t="s">
        <v>2459</v>
      </c>
      <c r="O832" t="s">
        <v>2459</v>
      </c>
      <c r="Q832">
        <f t="shared" si="24"/>
        <v>1</v>
      </c>
      <c r="R832">
        <f t="shared" si="25"/>
        <v>1</v>
      </c>
    </row>
    <row r="833" spans="1:18" x14ac:dyDescent="0.35">
      <c r="A833" s="11" t="s">
        <v>82</v>
      </c>
      <c r="B833" s="11" t="s">
        <v>1815</v>
      </c>
      <c r="C833" s="11" t="s">
        <v>1816</v>
      </c>
      <c r="D833" s="11" t="s">
        <v>314</v>
      </c>
      <c r="E833" s="11" t="s">
        <v>315</v>
      </c>
      <c r="F833" s="11" t="s">
        <v>316</v>
      </c>
      <c r="G833" s="11" t="s">
        <v>317</v>
      </c>
      <c r="I833" t="s">
        <v>1816</v>
      </c>
      <c r="K833" t="s">
        <v>317</v>
      </c>
      <c r="L833" t="s">
        <v>314</v>
      </c>
      <c r="M833" t="s">
        <v>315</v>
      </c>
      <c r="N833" t="s">
        <v>2459</v>
      </c>
      <c r="O833" t="s">
        <v>2459</v>
      </c>
      <c r="Q833">
        <f t="shared" si="24"/>
        <v>1</v>
      </c>
      <c r="R833">
        <f t="shared" si="25"/>
        <v>1</v>
      </c>
    </row>
    <row r="834" spans="1:18" x14ac:dyDescent="0.35">
      <c r="A834" s="11" t="s">
        <v>82</v>
      </c>
      <c r="B834" s="11" t="s">
        <v>1817</v>
      </c>
      <c r="C834" s="11" t="s">
        <v>1818</v>
      </c>
      <c r="D834" s="11" t="s">
        <v>314</v>
      </c>
      <c r="E834" s="11" t="s">
        <v>315</v>
      </c>
      <c r="F834" s="11" t="s">
        <v>319</v>
      </c>
      <c r="G834" s="11" t="s">
        <v>320</v>
      </c>
      <c r="I834" t="s">
        <v>1818</v>
      </c>
      <c r="K834" t="s">
        <v>320</v>
      </c>
      <c r="L834" t="s">
        <v>314</v>
      </c>
      <c r="M834" t="s">
        <v>315</v>
      </c>
      <c r="N834" t="s">
        <v>2459</v>
      </c>
      <c r="O834" t="s">
        <v>2459</v>
      </c>
      <c r="Q834">
        <f t="shared" si="24"/>
        <v>1</v>
      </c>
      <c r="R834">
        <f t="shared" si="25"/>
        <v>1</v>
      </c>
    </row>
    <row r="835" spans="1:18" x14ac:dyDescent="0.35">
      <c r="A835" s="11" t="s">
        <v>82</v>
      </c>
      <c r="B835" s="11" t="s">
        <v>1819</v>
      </c>
      <c r="C835" s="11" t="s">
        <v>1820</v>
      </c>
      <c r="D835" s="11" t="s">
        <v>314</v>
      </c>
      <c r="E835" s="11" t="s">
        <v>315</v>
      </c>
      <c r="F835" s="11" t="s">
        <v>319</v>
      </c>
      <c r="G835" s="11" t="s">
        <v>320</v>
      </c>
      <c r="I835" t="s">
        <v>1820</v>
      </c>
      <c r="K835" t="s">
        <v>306</v>
      </c>
      <c r="L835" t="s">
        <v>303</v>
      </c>
      <c r="M835" t="s">
        <v>304</v>
      </c>
      <c r="N835" t="s">
        <v>2410</v>
      </c>
      <c r="O835" t="s">
        <v>2410</v>
      </c>
      <c r="Q835" t="e">
        <f t="shared" ref="Q835:Q898" si="26">MATCH(G835,K835,0)</f>
        <v>#N/A</v>
      </c>
      <c r="R835" t="e">
        <f t="shared" ref="R835:R898" si="27">MATCH(E835,M835,0)</f>
        <v>#N/A</v>
      </c>
    </row>
    <row r="836" spans="1:18" x14ac:dyDescent="0.35">
      <c r="A836" s="11"/>
      <c r="B836" s="11"/>
      <c r="C836" s="11"/>
      <c r="D836" s="11"/>
      <c r="E836" s="11"/>
      <c r="F836" s="11"/>
      <c r="G836" s="11"/>
      <c r="I836" t="s">
        <v>2178</v>
      </c>
      <c r="K836" t="s">
        <v>306</v>
      </c>
      <c r="L836" t="s">
        <v>303</v>
      </c>
      <c r="M836" t="s">
        <v>304</v>
      </c>
      <c r="N836" t="s">
        <v>2410</v>
      </c>
      <c r="O836" t="s">
        <v>2410</v>
      </c>
      <c r="P836" t="s">
        <v>2294</v>
      </c>
      <c r="Q836" t="e">
        <f t="shared" si="26"/>
        <v>#N/A</v>
      </c>
      <c r="R836" t="e">
        <f t="shared" si="27"/>
        <v>#N/A</v>
      </c>
    </row>
    <row r="837" spans="1:18" x14ac:dyDescent="0.35">
      <c r="A837" s="11"/>
      <c r="B837" s="11"/>
      <c r="C837" s="11"/>
      <c r="D837" s="11"/>
      <c r="E837" s="11"/>
      <c r="F837" s="11"/>
      <c r="G837" s="11"/>
      <c r="I837" t="s">
        <v>2179</v>
      </c>
      <c r="K837" t="s">
        <v>306</v>
      </c>
      <c r="L837" t="s">
        <v>303</v>
      </c>
      <c r="M837" t="s">
        <v>304</v>
      </c>
      <c r="N837" t="s">
        <v>2410</v>
      </c>
      <c r="O837" t="s">
        <v>2410</v>
      </c>
      <c r="P837" t="s">
        <v>2294</v>
      </c>
      <c r="Q837" t="e">
        <f t="shared" si="26"/>
        <v>#N/A</v>
      </c>
      <c r="R837" t="e">
        <f t="shared" si="27"/>
        <v>#N/A</v>
      </c>
    </row>
    <row r="838" spans="1:18" x14ac:dyDescent="0.35">
      <c r="A838" s="11"/>
      <c r="B838" s="11"/>
      <c r="C838" s="11"/>
      <c r="D838" s="11"/>
      <c r="E838" s="11"/>
      <c r="F838" s="11"/>
      <c r="G838" s="11"/>
      <c r="I838" t="s">
        <v>2180</v>
      </c>
      <c r="K838" t="s">
        <v>306</v>
      </c>
      <c r="L838" t="s">
        <v>303</v>
      </c>
      <c r="M838" t="s">
        <v>304</v>
      </c>
      <c r="N838" t="s">
        <v>2410</v>
      </c>
      <c r="O838" t="s">
        <v>2410</v>
      </c>
      <c r="P838" t="s">
        <v>2295</v>
      </c>
      <c r="Q838" t="e">
        <f t="shared" si="26"/>
        <v>#N/A</v>
      </c>
      <c r="R838" t="e">
        <f t="shared" si="27"/>
        <v>#N/A</v>
      </c>
    </row>
    <row r="839" spans="1:18" x14ac:dyDescent="0.35">
      <c r="A839" s="11"/>
      <c r="B839" s="11"/>
      <c r="C839" s="11"/>
      <c r="D839" s="11"/>
      <c r="E839" s="11"/>
      <c r="F839" s="11"/>
      <c r="G839" s="11"/>
      <c r="I839" t="s">
        <v>2181</v>
      </c>
      <c r="K839" t="s">
        <v>306</v>
      </c>
      <c r="L839" t="s">
        <v>303</v>
      </c>
      <c r="M839" t="s">
        <v>304</v>
      </c>
      <c r="N839" t="s">
        <v>2410</v>
      </c>
      <c r="O839" t="s">
        <v>2410</v>
      </c>
      <c r="P839" t="s">
        <v>2295</v>
      </c>
      <c r="Q839" t="e">
        <f t="shared" si="26"/>
        <v>#N/A</v>
      </c>
      <c r="R839" t="e">
        <f t="shared" si="27"/>
        <v>#N/A</v>
      </c>
    </row>
    <row r="840" spans="1:18" x14ac:dyDescent="0.35">
      <c r="A840" s="11"/>
      <c r="B840" s="11"/>
      <c r="C840" s="11"/>
      <c r="D840" s="11"/>
      <c r="E840" s="11"/>
      <c r="F840" s="11"/>
      <c r="G840" s="11"/>
      <c r="I840" t="s">
        <v>2187</v>
      </c>
      <c r="K840" t="s">
        <v>320</v>
      </c>
      <c r="L840" t="s">
        <v>314</v>
      </c>
      <c r="M840" t="s">
        <v>315</v>
      </c>
      <c r="P840" t="s">
        <v>2294</v>
      </c>
      <c r="Q840" t="e">
        <f t="shared" si="26"/>
        <v>#N/A</v>
      </c>
      <c r="R840" t="e">
        <f t="shared" si="27"/>
        <v>#N/A</v>
      </c>
    </row>
    <row r="841" spans="1:18" x14ac:dyDescent="0.35">
      <c r="A841" s="11" t="s">
        <v>82</v>
      </c>
      <c r="B841" s="11" t="s">
        <v>1821</v>
      </c>
      <c r="C841" s="11" t="s">
        <v>1822</v>
      </c>
      <c r="D841" s="11" t="s">
        <v>314</v>
      </c>
      <c r="E841" s="11" t="s">
        <v>315</v>
      </c>
      <c r="F841" s="11" t="s">
        <v>319</v>
      </c>
      <c r="G841" s="11" t="s">
        <v>320</v>
      </c>
      <c r="I841" t="s">
        <v>1822</v>
      </c>
      <c r="K841" t="s">
        <v>320</v>
      </c>
      <c r="L841" t="s">
        <v>314</v>
      </c>
      <c r="M841" t="s">
        <v>315</v>
      </c>
      <c r="N841" t="s">
        <v>2459</v>
      </c>
      <c r="O841" t="s">
        <v>2459</v>
      </c>
      <c r="Q841">
        <f t="shared" si="26"/>
        <v>1</v>
      </c>
      <c r="R841">
        <f t="shared" si="27"/>
        <v>1</v>
      </c>
    </row>
    <row r="842" spans="1:18" x14ac:dyDescent="0.35">
      <c r="A842" s="11" t="s">
        <v>82</v>
      </c>
      <c r="B842" s="11" t="s">
        <v>1823</v>
      </c>
      <c r="C842" s="11" t="s">
        <v>320</v>
      </c>
      <c r="D842" s="11" t="s">
        <v>314</v>
      </c>
      <c r="E842" s="11" t="s">
        <v>315</v>
      </c>
      <c r="F842" s="11" t="s">
        <v>319</v>
      </c>
      <c r="G842" s="11" t="s">
        <v>320</v>
      </c>
      <c r="I842" t="s">
        <v>320</v>
      </c>
      <c r="K842" t="s">
        <v>320</v>
      </c>
      <c r="L842" t="s">
        <v>314</v>
      </c>
      <c r="M842" t="s">
        <v>315</v>
      </c>
      <c r="N842" t="s">
        <v>2459</v>
      </c>
      <c r="O842" t="s">
        <v>2459</v>
      </c>
      <c r="Q842">
        <f t="shared" si="26"/>
        <v>1</v>
      </c>
      <c r="R842">
        <f t="shared" si="27"/>
        <v>1</v>
      </c>
    </row>
    <row r="843" spans="1:18" x14ac:dyDescent="0.35">
      <c r="A843" s="11" t="s">
        <v>82</v>
      </c>
      <c r="B843" s="11" t="s">
        <v>1824</v>
      </c>
      <c r="C843" s="11" t="s">
        <v>1825</v>
      </c>
      <c r="D843" s="11" t="s">
        <v>314</v>
      </c>
      <c r="E843" s="11" t="s">
        <v>315</v>
      </c>
      <c r="F843" s="11" t="s">
        <v>319</v>
      </c>
      <c r="G843" s="11" t="s">
        <v>320</v>
      </c>
      <c r="I843" t="s">
        <v>1825</v>
      </c>
      <c r="K843" t="s">
        <v>320</v>
      </c>
      <c r="L843" t="s">
        <v>314</v>
      </c>
      <c r="M843" t="s">
        <v>315</v>
      </c>
      <c r="N843" t="s">
        <v>2459</v>
      </c>
      <c r="O843" t="s">
        <v>2459</v>
      </c>
      <c r="Q843">
        <f t="shared" si="26"/>
        <v>1</v>
      </c>
      <c r="R843">
        <f t="shared" si="27"/>
        <v>1</v>
      </c>
    </row>
    <row r="844" spans="1:18" x14ac:dyDescent="0.35">
      <c r="A844" s="11" t="s">
        <v>82</v>
      </c>
      <c r="B844" s="11" t="s">
        <v>1826</v>
      </c>
      <c r="C844" s="11" t="s">
        <v>1827</v>
      </c>
      <c r="D844" s="11" t="s">
        <v>314</v>
      </c>
      <c r="E844" s="11" t="s">
        <v>315</v>
      </c>
      <c r="F844" s="11" t="s">
        <v>319</v>
      </c>
      <c r="G844" s="11" t="s">
        <v>320</v>
      </c>
      <c r="I844" t="s">
        <v>1827</v>
      </c>
      <c r="K844" t="s">
        <v>320</v>
      </c>
      <c r="L844" t="s">
        <v>314</v>
      </c>
      <c r="M844" t="s">
        <v>315</v>
      </c>
      <c r="N844" t="s">
        <v>2459</v>
      </c>
      <c r="O844" t="s">
        <v>2459</v>
      </c>
      <c r="Q844">
        <f t="shared" si="26"/>
        <v>1</v>
      </c>
      <c r="R844">
        <f t="shared" si="27"/>
        <v>1</v>
      </c>
    </row>
    <row r="845" spans="1:18" x14ac:dyDescent="0.35">
      <c r="A845" s="11" t="s">
        <v>82</v>
      </c>
      <c r="B845" s="11" t="s">
        <v>1828</v>
      </c>
      <c r="C845" s="11" t="s">
        <v>1829</v>
      </c>
      <c r="D845" s="11" t="s">
        <v>314</v>
      </c>
      <c r="E845" s="11" t="s">
        <v>315</v>
      </c>
      <c r="F845" s="11" t="s">
        <v>319</v>
      </c>
      <c r="G845" s="11" t="s">
        <v>320</v>
      </c>
      <c r="I845" t="s">
        <v>1829</v>
      </c>
      <c r="K845" t="s">
        <v>320</v>
      </c>
      <c r="L845" t="s">
        <v>314</v>
      </c>
      <c r="M845" t="s">
        <v>315</v>
      </c>
      <c r="N845" t="s">
        <v>2459</v>
      </c>
      <c r="O845" t="s">
        <v>2459</v>
      </c>
      <c r="Q845">
        <f t="shared" si="26"/>
        <v>1</v>
      </c>
      <c r="R845">
        <f t="shared" si="27"/>
        <v>1</v>
      </c>
    </row>
    <row r="846" spans="1:18" x14ac:dyDescent="0.35">
      <c r="A846" s="11" t="s">
        <v>82</v>
      </c>
      <c r="B846" s="11" t="s">
        <v>1830</v>
      </c>
      <c r="C846" s="11" t="s">
        <v>1831</v>
      </c>
      <c r="D846" s="11" t="s">
        <v>314</v>
      </c>
      <c r="E846" s="11" t="s">
        <v>315</v>
      </c>
      <c r="F846" s="11" t="s">
        <v>322</v>
      </c>
      <c r="G846" s="11" t="s">
        <v>323</v>
      </c>
      <c r="I846" t="s">
        <v>1831</v>
      </c>
      <c r="K846" t="s">
        <v>323</v>
      </c>
      <c r="L846" t="s">
        <v>314</v>
      </c>
      <c r="M846" t="s">
        <v>315</v>
      </c>
      <c r="N846" t="s">
        <v>2459</v>
      </c>
      <c r="O846" t="s">
        <v>2459</v>
      </c>
      <c r="Q846">
        <f t="shared" si="26"/>
        <v>1</v>
      </c>
      <c r="R846">
        <f t="shared" si="27"/>
        <v>1</v>
      </c>
    </row>
    <row r="847" spans="1:18" x14ac:dyDescent="0.35">
      <c r="A847" s="11"/>
      <c r="B847" s="11"/>
      <c r="C847" s="11"/>
      <c r="D847" s="11"/>
      <c r="E847" s="11"/>
      <c r="F847" s="11"/>
      <c r="G847" s="11"/>
      <c r="I847" t="s">
        <v>2188</v>
      </c>
      <c r="K847" t="s">
        <v>320</v>
      </c>
      <c r="L847" t="s">
        <v>314</v>
      </c>
      <c r="M847" t="s">
        <v>315</v>
      </c>
      <c r="N847" t="s">
        <v>2410</v>
      </c>
      <c r="O847" t="s">
        <v>2459</v>
      </c>
      <c r="P847" t="s">
        <v>2296</v>
      </c>
      <c r="Q847" t="e">
        <f t="shared" si="26"/>
        <v>#N/A</v>
      </c>
      <c r="R847" t="e">
        <f t="shared" si="27"/>
        <v>#N/A</v>
      </c>
    </row>
    <row r="848" spans="1:18" x14ac:dyDescent="0.35">
      <c r="A848" s="11"/>
      <c r="B848" s="11"/>
      <c r="C848" s="11"/>
      <c r="D848" s="11"/>
      <c r="E848" s="11"/>
      <c r="F848" s="11"/>
      <c r="G848" s="11"/>
      <c r="I848" t="s">
        <v>2189</v>
      </c>
      <c r="K848" t="s">
        <v>320</v>
      </c>
      <c r="L848" t="s">
        <v>314</v>
      </c>
      <c r="M848" t="s">
        <v>315</v>
      </c>
      <c r="N848" t="s">
        <v>2410</v>
      </c>
      <c r="O848" t="s">
        <v>2459</v>
      </c>
      <c r="P848" t="s">
        <v>2296</v>
      </c>
      <c r="Q848" t="e">
        <f t="shared" si="26"/>
        <v>#N/A</v>
      </c>
      <c r="R848" t="e">
        <f t="shared" si="27"/>
        <v>#N/A</v>
      </c>
    </row>
    <row r="849" spans="1:18" x14ac:dyDescent="0.35">
      <c r="A849" s="11"/>
      <c r="B849" s="11"/>
      <c r="C849" s="11"/>
      <c r="D849" s="11"/>
      <c r="E849" s="11"/>
      <c r="F849" s="11"/>
      <c r="G849" s="11"/>
      <c r="I849" t="s">
        <v>2190</v>
      </c>
      <c r="K849" t="s">
        <v>320</v>
      </c>
      <c r="L849" t="s">
        <v>314</v>
      </c>
      <c r="M849" t="s">
        <v>315</v>
      </c>
      <c r="N849" t="s">
        <v>2410</v>
      </c>
      <c r="O849" t="s">
        <v>2459</v>
      </c>
      <c r="P849" t="s">
        <v>2296</v>
      </c>
      <c r="Q849" t="e">
        <f t="shared" si="26"/>
        <v>#N/A</v>
      </c>
      <c r="R849" t="e">
        <f t="shared" si="27"/>
        <v>#N/A</v>
      </c>
    </row>
    <row r="850" spans="1:18" x14ac:dyDescent="0.35">
      <c r="A850" s="11"/>
      <c r="B850" s="11"/>
      <c r="C850" s="11"/>
      <c r="D850" s="11"/>
      <c r="E850" s="11"/>
      <c r="F850" s="11"/>
      <c r="G850" s="11"/>
      <c r="I850" t="s">
        <v>2191</v>
      </c>
      <c r="K850" t="s">
        <v>323</v>
      </c>
      <c r="L850" t="s">
        <v>314</v>
      </c>
      <c r="M850" t="s">
        <v>315</v>
      </c>
      <c r="P850" t="s">
        <v>2296</v>
      </c>
      <c r="Q850" t="e">
        <f t="shared" si="26"/>
        <v>#N/A</v>
      </c>
      <c r="R850" t="e">
        <f t="shared" si="27"/>
        <v>#N/A</v>
      </c>
    </row>
    <row r="851" spans="1:18" x14ac:dyDescent="0.35">
      <c r="A851" s="11" t="s">
        <v>82</v>
      </c>
      <c r="B851" s="11" t="s">
        <v>1832</v>
      </c>
      <c r="C851" s="11" t="s">
        <v>1833</v>
      </c>
      <c r="D851" s="11" t="s">
        <v>314</v>
      </c>
      <c r="E851" s="11" t="s">
        <v>315</v>
      </c>
      <c r="F851" s="11" t="s">
        <v>322</v>
      </c>
      <c r="G851" s="11" t="s">
        <v>323</v>
      </c>
      <c r="I851" t="s">
        <v>1833</v>
      </c>
      <c r="K851" t="s">
        <v>323</v>
      </c>
      <c r="L851" t="s">
        <v>314</v>
      </c>
      <c r="M851" t="s">
        <v>315</v>
      </c>
      <c r="N851" t="s">
        <v>2459</v>
      </c>
      <c r="O851" t="s">
        <v>2459</v>
      </c>
      <c r="Q851">
        <f t="shared" si="26"/>
        <v>1</v>
      </c>
      <c r="R851">
        <f t="shared" si="27"/>
        <v>1</v>
      </c>
    </row>
    <row r="852" spans="1:18" x14ac:dyDescent="0.35">
      <c r="A852" s="11" t="s">
        <v>82</v>
      </c>
      <c r="B852" s="11" t="s">
        <v>1834</v>
      </c>
      <c r="C852" s="11" t="s">
        <v>1835</v>
      </c>
      <c r="D852" s="11" t="s">
        <v>314</v>
      </c>
      <c r="E852" s="11" t="s">
        <v>315</v>
      </c>
      <c r="F852" s="11" t="s">
        <v>322</v>
      </c>
      <c r="G852" s="11" t="s">
        <v>323</v>
      </c>
      <c r="I852" t="s">
        <v>1835</v>
      </c>
      <c r="K852" t="s">
        <v>333</v>
      </c>
      <c r="L852" t="s">
        <v>325</v>
      </c>
      <c r="M852" t="s">
        <v>326</v>
      </c>
      <c r="N852" t="s">
        <v>2410</v>
      </c>
      <c r="O852" t="s">
        <v>2410</v>
      </c>
      <c r="Q852" t="e">
        <f t="shared" si="26"/>
        <v>#N/A</v>
      </c>
      <c r="R852" t="e">
        <f t="shared" si="27"/>
        <v>#N/A</v>
      </c>
    </row>
    <row r="853" spans="1:18" x14ac:dyDescent="0.35">
      <c r="A853" s="11"/>
      <c r="B853" s="11"/>
      <c r="C853" s="11"/>
      <c r="D853" s="11"/>
      <c r="E853" s="11"/>
      <c r="F853" s="11"/>
      <c r="G853" s="11"/>
      <c r="I853" t="s">
        <v>2192</v>
      </c>
      <c r="K853" t="s">
        <v>323</v>
      </c>
      <c r="L853" t="s">
        <v>314</v>
      </c>
      <c r="M853" t="s">
        <v>315</v>
      </c>
      <c r="P853" t="s">
        <v>2297</v>
      </c>
      <c r="Q853" t="e">
        <f t="shared" si="26"/>
        <v>#N/A</v>
      </c>
      <c r="R853" t="e">
        <f t="shared" si="27"/>
        <v>#N/A</v>
      </c>
    </row>
    <row r="854" spans="1:18" x14ac:dyDescent="0.35">
      <c r="A854" s="11"/>
      <c r="B854" s="11"/>
      <c r="C854" s="11"/>
      <c r="D854" s="11"/>
      <c r="E854" s="11"/>
      <c r="F854" s="11"/>
      <c r="G854" s="11"/>
      <c r="I854" t="s">
        <v>2193</v>
      </c>
      <c r="K854" t="s">
        <v>323</v>
      </c>
      <c r="L854" t="s">
        <v>314</v>
      </c>
      <c r="M854" t="s">
        <v>315</v>
      </c>
      <c r="P854" t="s">
        <v>2297</v>
      </c>
      <c r="Q854" t="e">
        <f t="shared" si="26"/>
        <v>#N/A</v>
      </c>
      <c r="R854" t="e">
        <f t="shared" si="27"/>
        <v>#N/A</v>
      </c>
    </row>
    <row r="855" spans="1:18" x14ac:dyDescent="0.35">
      <c r="A855" s="11"/>
      <c r="B855" s="11"/>
      <c r="C855" s="11"/>
      <c r="D855" s="11"/>
      <c r="E855" s="11"/>
      <c r="F855" s="11"/>
      <c r="G855" s="11"/>
      <c r="I855" t="s">
        <v>2263</v>
      </c>
      <c r="K855" t="s">
        <v>323</v>
      </c>
      <c r="L855" t="s">
        <v>314</v>
      </c>
      <c r="M855" t="s">
        <v>315</v>
      </c>
      <c r="P855" t="s">
        <v>2297</v>
      </c>
      <c r="Q855" t="e">
        <f t="shared" si="26"/>
        <v>#N/A</v>
      </c>
      <c r="R855" t="e">
        <f t="shared" si="27"/>
        <v>#N/A</v>
      </c>
    </row>
    <row r="856" spans="1:18" x14ac:dyDescent="0.35">
      <c r="A856" s="11"/>
      <c r="B856" s="11"/>
      <c r="C856" s="11"/>
      <c r="D856" s="11"/>
      <c r="E856" s="11"/>
      <c r="F856" s="11"/>
      <c r="G856" s="11"/>
      <c r="I856" t="s">
        <v>2264</v>
      </c>
      <c r="K856" t="s">
        <v>323</v>
      </c>
      <c r="L856" t="s">
        <v>314</v>
      </c>
      <c r="M856" t="s">
        <v>315</v>
      </c>
      <c r="P856" t="s">
        <v>2297</v>
      </c>
      <c r="Q856" t="e">
        <f t="shared" si="26"/>
        <v>#N/A</v>
      </c>
      <c r="R856" t="e">
        <f t="shared" si="27"/>
        <v>#N/A</v>
      </c>
    </row>
    <row r="857" spans="1:18" x14ac:dyDescent="0.35">
      <c r="A857" s="11"/>
      <c r="B857" s="11"/>
      <c r="C857" s="11"/>
      <c r="D857" s="11"/>
      <c r="E857" s="11"/>
      <c r="F857" s="11"/>
      <c r="G857" s="11"/>
      <c r="I857" t="s">
        <v>2264</v>
      </c>
      <c r="K857" t="s">
        <v>323</v>
      </c>
      <c r="L857" t="s">
        <v>314</v>
      </c>
      <c r="M857" t="s">
        <v>315</v>
      </c>
      <c r="P857" t="s">
        <v>2297</v>
      </c>
      <c r="Q857" t="e">
        <f t="shared" si="26"/>
        <v>#N/A</v>
      </c>
      <c r="R857" t="e">
        <f t="shared" si="27"/>
        <v>#N/A</v>
      </c>
    </row>
    <row r="858" spans="1:18" x14ac:dyDescent="0.35">
      <c r="A858" s="11" t="s">
        <v>82</v>
      </c>
      <c r="B858" s="11" t="s">
        <v>1836</v>
      </c>
      <c r="C858" s="11" t="s">
        <v>1837</v>
      </c>
      <c r="D858" s="11" t="s">
        <v>325</v>
      </c>
      <c r="E858" s="11" t="s">
        <v>326</v>
      </c>
      <c r="F858" s="11" t="s">
        <v>327</v>
      </c>
      <c r="G858" s="11" t="s">
        <v>75</v>
      </c>
      <c r="I858" t="s">
        <v>1837</v>
      </c>
      <c r="K858" t="s">
        <v>76</v>
      </c>
      <c r="L858" t="s">
        <v>325</v>
      </c>
      <c r="M858" t="s">
        <v>326</v>
      </c>
      <c r="N858" t="s">
        <v>2459</v>
      </c>
      <c r="O858" t="s">
        <v>2459</v>
      </c>
      <c r="P858" t="s">
        <v>2265</v>
      </c>
      <c r="Q858" t="e">
        <f t="shared" si="26"/>
        <v>#N/A</v>
      </c>
      <c r="R858">
        <f t="shared" si="27"/>
        <v>1</v>
      </c>
    </row>
    <row r="859" spans="1:18" x14ac:dyDescent="0.35">
      <c r="A859" s="11" t="s">
        <v>82</v>
      </c>
      <c r="B859" s="11" t="s">
        <v>1838</v>
      </c>
      <c r="C859" s="11" t="s">
        <v>1839</v>
      </c>
      <c r="D859" s="11" t="s">
        <v>325</v>
      </c>
      <c r="E859" s="11" t="s">
        <v>326</v>
      </c>
      <c r="F859" s="11" t="s">
        <v>327</v>
      </c>
      <c r="G859" s="11" t="s">
        <v>75</v>
      </c>
      <c r="I859" t="s">
        <v>1839</v>
      </c>
      <c r="K859" t="s">
        <v>76</v>
      </c>
      <c r="L859" t="s">
        <v>325</v>
      </c>
      <c r="M859" t="s">
        <v>326</v>
      </c>
      <c r="N859" t="s">
        <v>2459</v>
      </c>
      <c r="O859" t="s">
        <v>2459</v>
      </c>
      <c r="P859" t="s">
        <v>2265</v>
      </c>
      <c r="Q859" t="e">
        <f t="shared" si="26"/>
        <v>#N/A</v>
      </c>
      <c r="R859">
        <f t="shared" si="27"/>
        <v>1</v>
      </c>
    </row>
    <row r="860" spans="1:18" x14ac:dyDescent="0.35">
      <c r="A860" s="11" t="s">
        <v>82</v>
      </c>
      <c r="B860" s="11" t="s">
        <v>1840</v>
      </c>
      <c r="C860" s="11" t="s">
        <v>75</v>
      </c>
      <c r="D860" s="11" t="s">
        <v>325</v>
      </c>
      <c r="E860" s="11" t="s">
        <v>326</v>
      </c>
      <c r="F860" s="11" t="s">
        <v>327</v>
      </c>
      <c r="G860" s="11" t="s">
        <v>75</v>
      </c>
      <c r="I860" t="s">
        <v>75</v>
      </c>
      <c r="K860" t="s">
        <v>76</v>
      </c>
      <c r="L860" t="s">
        <v>325</v>
      </c>
      <c r="M860" t="s">
        <v>326</v>
      </c>
      <c r="N860" t="s">
        <v>2459</v>
      </c>
      <c r="O860" t="s">
        <v>2459</v>
      </c>
      <c r="P860" t="s">
        <v>2265</v>
      </c>
      <c r="Q860" t="e">
        <f t="shared" si="26"/>
        <v>#N/A</v>
      </c>
      <c r="R860">
        <f t="shared" si="27"/>
        <v>1</v>
      </c>
    </row>
    <row r="861" spans="1:18" x14ac:dyDescent="0.35">
      <c r="A861" s="11" t="s">
        <v>82</v>
      </c>
      <c r="B861" s="11" t="s">
        <v>1841</v>
      </c>
      <c r="C861" s="11" t="s">
        <v>1842</v>
      </c>
      <c r="D861" s="11" t="s">
        <v>325</v>
      </c>
      <c r="E861" s="11" t="s">
        <v>326</v>
      </c>
      <c r="F861" s="11" t="s">
        <v>327</v>
      </c>
      <c r="G861" s="11" t="s">
        <v>75</v>
      </c>
      <c r="I861" t="s">
        <v>1842</v>
      </c>
      <c r="K861" t="s">
        <v>76</v>
      </c>
      <c r="L861" t="s">
        <v>325</v>
      </c>
      <c r="M861" t="s">
        <v>326</v>
      </c>
      <c r="N861" t="s">
        <v>2459</v>
      </c>
      <c r="O861" t="s">
        <v>2459</v>
      </c>
      <c r="P861" t="s">
        <v>2265</v>
      </c>
      <c r="Q861" t="e">
        <f t="shared" si="26"/>
        <v>#N/A</v>
      </c>
      <c r="R861">
        <f t="shared" si="27"/>
        <v>1</v>
      </c>
    </row>
    <row r="862" spans="1:18" x14ac:dyDescent="0.35">
      <c r="A862" s="11" t="s">
        <v>82</v>
      </c>
      <c r="B862" s="11" t="s">
        <v>1843</v>
      </c>
      <c r="C862" s="11" t="s">
        <v>1844</v>
      </c>
      <c r="D862" s="11" t="s">
        <v>325</v>
      </c>
      <c r="E862" s="11" t="s">
        <v>326</v>
      </c>
      <c r="F862" s="11" t="s">
        <v>327</v>
      </c>
      <c r="G862" s="11" t="s">
        <v>75</v>
      </c>
      <c r="I862" t="s">
        <v>1844</v>
      </c>
      <c r="K862" t="s">
        <v>76</v>
      </c>
      <c r="L862" t="s">
        <v>325</v>
      </c>
      <c r="M862" t="s">
        <v>326</v>
      </c>
      <c r="N862" t="s">
        <v>2459</v>
      </c>
      <c r="O862" t="s">
        <v>2459</v>
      </c>
      <c r="P862" t="s">
        <v>2265</v>
      </c>
      <c r="Q862" t="e">
        <f t="shared" si="26"/>
        <v>#N/A</v>
      </c>
      <c r="R862">
        <f t="shared" si="27"/>
        <v>1</v>
      </c>
    </row>
    <row r="863" spans="1:18" x14ac:dyDescent="0.35">
      <c r="A863" s="11" t="s">
        <v>82</v>
      </c>
      <c r="B863" s="11" t="s">
        <v>1845</v>
      </c>
      <c r="C863" s="11" t="s">
        <v>1846</v>
      </c>
      <c r="D863" s="11" t="s">
        <v>325</v>
      </c>
      <c r="E863" s="11" t="s">
        <v>326</v>
      </c>
      <c r="F863" s="11" t="s">
        <v>327</v>
      </c>
      <c r="G863" s="11" t="s">
        <v>75</v>
      </c>
      <c r="I863" t="s">
        <v>1846</v>
      </c>
      <c r="K863" t="s">
        <v>76</v>
      </c>
      <c r="L863" t="s">
        <v>325</v>
      </c>
      <c r="M863" t="s">
        <v>326</v>
      </c>
      <c r="N863" t="s">
        <v>2459</v>
      </c>
      <c r="O863" t="s">
        <v>2459</v>
      </c>
      <c r="P863" t="s">
        <v>2265</v>
      </c>
      <c r="Q863" t="e">
        <f t="shared" si="26"/>
        <v>#N/A</v>
      </c>
      <c r="R863">
        <f t="shared" si="27"/>
        <v>1</v>
      </c>
    </row>
    <row r="864" spans="1:18" x14ac:dyDescent="0.35">
      <c r="A864" s="11" t="s">
        <v>82</v>
      </c>
      <c r="B864" s="11" t="s">
        <v>1847</v>
      </c>
      <c r="C864" s="11" t="s">
        <v>1848</v>
      </c>
      <c r="D864" s="11" t="s">
        <v>325</v>
      </c>
      <c r="E864" s="11" t="s">
        <v>326</v>
      </c>
      <c r="F864" s="11" t="s">
        <v>329</v>
      </c>
      <c r="G864" s="11" t="s">
        <v>330</v>
      </c>
      <c r="I864" t="s">
        <v>1848</v>
      </c>
      <c r="K864" t="s">
        <v>330</v>
      </c>
      <c r="L864" t="s">
        <v>325</v>
      </c>
      <c r="M864" t="s">
        <v>326</v>
      </c>
      <c r="N864" t="s">
        <v>2459</v>
      </c>
      <c r="O864" t="s">
        <v>2459</v>
      </c>
      <c r="Q864">
        <f t="shared" si="26"/>
        <v>1</v>
      </c>
      <c r="R864">
        <f t="shared" si="27"/>
        <v>1</v>
      </c>
    </row>
    <row r="865" spans="1:18" x14ac:dyDescent="0.35">
      <c r="A865" s="11" t="s">
        <v>82</v>
      </c>
      <c r="B865" s="11" t="s">
        <v>1849</v>
      </c>
      <c r="C865" s="11" t="s">
        <v>1850</v>
      </c>
      <c r="D865" s="11" t="s">
        <v>325</v>
      </c>
      <c r="E865" s="11" t="s">
        <v>326</v>
      </c>
      <c r="F865" s="11" t="s">
        <v>329</v>
      </c>
      <c r="G865" s="11" t="s">
        <v>330</v>
      </c>
      <c r="I865" t="s">
        <v>1850</v>
      </c>
      <c r="K865" t="s">
        <v>330</v>
      </c>
      <c r="L865" t="s">
        <v>325</v>
      </c>
      <c r="M865" t="s">
        <v>326</v>
      </c>
      <c r="N865" t="s">
        <v>2459</v>
      </c>
      <c r="O865" t="s">
        <v>2459</v>
      </c>
      <c r="Q865">
        <f t="shared" si="26"/>
        <v>1</v>
      </c>
      <c r="R865">
        <f t="shared" si="27"/>
        <v>1</v>
      </c>
    </row>
    <row r="866" spans="1:18" x14ac:dyDescent="0.35">
      <c r="A866" s="11" t="s">
        <v>82</v>
      </c>
      <c r="B866" s="11" t="s">
        <v>1851</v>
      </c>
      <c r="C866" s="11" t="s">
        <v>1852</v>
      </c>
      <c r="D866" s="11" t="s">
        <v>325</v>
      </c>
      <c r="E866" s="11" t="s">
        <v>326</v>
      </c>
      <c r="F866" s="11" t="s">
        <v>329</v>
      </c>
      <c r="G866" s="11" t="s">
        <v>330</v>
      </c>
      <c r="I866" t="s">
        <v>1852</v>
      </c>
      <c r="K866" t="s">
        <v>330</v>
      </c>
      <c r="L866" t="s">
        <v>325</v>
      </c>
      <c r="M866" t="s">
        <v>326</v>
      </c>
      <c r="N866" t="s">
        <v>2459</v>
      </c>
      <c r="O866" t="s">
        <v>2459</v>
      </c>
      <c r="Q866">
        <f t="shared" si="26"/>
        <v>1</v>
      </c>
      <c r="R866">
        <f t="shared" si="27"/>
        <v>1</v>
      </c>
    </row>
    <row r="867" spans="1:18" x14ac:dyDescent="0.35">
      <c r="A867" s="11" t="s">
        <v>82</v>
      </c>
      <c r="B867" s="11" t="s">
        <v>1853</v>
      </c>
      <c r="C867" s="11" t="s">
        <v>1854</v>
      </c>
      <c r="D867" s="11" t="s">
        <v>325</v>
      </c>
      <c r="E867" s="11" t="s">
        <v>326</v>
      </c>
      <c r="F867" s="11" t="s">
        <v>329</v>
      </c>
      <c r="G867" s="11" t="s">
        <v>330</v>
      </c>
      <c r="I867" t="s">
        <v>1854</v>
      </c>
      <c r="K867" t="s">
        <v>330</v>
      </c>
      <c r="L867" t="s">
        <v>325</v>
      </c>
      <c r="M867" t="s">
        <v>326</v>
      </c>
      <c r="N867" t="s">
        <v>2459</v>
      </c>
      <c r="O867" t="s">
        <v>2459</v>
      </c>
      <c r="Q867">
        <f t="shared" si="26"/>
        <v>1</v>
      </c>
      <c r="R867">
        <f t="shared" si="27"/>
        <v>1</v>
      </c>
    </row>
    <row r="868" spans="1:18" x14ac:dyDescent="0.35">
      <c r="A868" s="11" t="s">
        <v>82</v>
      </c>
      <c r="B868" s="11" t="s">
        <v>1855</v>
      </c>
      <c r="C868" s="11" t="s">
        <v>1856</v>
      </c>
      <c r="D868" s="11" t="s">
        <v>325</v>
      </c>
      <c r="E868" s="11" t="s">
        <v>326</v>
      </c>
      <c r="F868" s="11" t="s">
        <v>329</v>
      </c>
      <c r="G868" s="11" t="s">
        <v>330</v>
      </c>
      <c r="I868" t="s">
        <v>1856</v>
      </c>
      <c r="K868" t="s">
        <v>330</v>
      </c>
      <c r="L868" t="s">
        <v>325</v>
      </c>
      <c r="M868" t="s">
        <v>326</v>
      </c>
      <c r="N868" t="s">
        <v>2459</v>
      </c>
      <c r="O868" t="s">
        <v>2459</v>
      </c>
      <c r="Q868">
        <f t="shared" si="26"/>
        <v>1</v>
      </c>
      <c r="R868">
        <f t="shared" si="27"/>
        <v>1</v>
      </c>
    </row>
    <row r="869" spans="1:18" x14ac:dyDescent="0.35">
      <c r="A869" s="11" t="s">
        <v>82</v>
      </c>
      <c r="B869" s="11" t="s">
        <v>1857</v>
      </c>
      <c r="C869" s="11" t="s">
        <v>1858</v>
      </c>
      <c r="D869" s="11" t="s">
        <v>325</v>
      </c>
      <c r="E869" s="11" t="s">
        <v>326</v>
      </c>
      <c r="F869" s="11" t="s">
        <v>329</v>
      </c>
      <c r="G869" s="11" t="s">
        <v>330</v>
      </c>
      <c r="I869" t="s">
        <v>1858</v>
      </c>
      <c r="K869" t="s">
        <v>330</v>
      </c>
      <c r="L869" t="s">
        <v>325</v>
      </c>
      <c r="M869" t="s">
        <v>326</v>
      </c>
      <c r="N869" t="s">
        <v>2459</v>
      </c>
      <c r="O869" t="s">
        <v>2459</v>
      </c>
      <c r="Q869">
        <f t="shared" si="26"/>
        <v>1</v>
      </c>
      <c r="R869">
        <f t="shared" si="27"/>
        <v>1</v>
      </c>
    </row>
    <row r="870" spans="1:18" x14ac:dyDescent="0.35">
      <c r="A870" s="11" t="s">
        <v>82</v>
      </c>
      <c r="B870" s="11" t="s">
        <v>1859</v>
      </c>
      <c r="C870" s="11" t="s">
        <v>1860</v>
      </c>
      <c r="D870" s="11" t="s">
        <v>325</v>
      </c>
      <c r="E870" s="11" t="s">
        <v>326</v>
      </c>
      <c r="F870" s="11" t="s">
        <v>332</v>
      </c>
      <c r="G870" s="11" t="s">
        <v>333</v>
      </c>
      <c r="I870" t="s">
        <v>1860</v>
      </c>
      <c r="K870" t="s">
        <v>333</v>
      </c>
      <c r="L870" t="s">
        <v>325</v>
      </c>
      <c r="M870" t="s">
        <v>326</v>
      </c>
      <c r="N870" t="s">
        <v>2459</v>
      </c>
      <c r="O870" t="s">
        <v>2459</v>
      </c>
      <c r="Q870">
        <f t="shared" si="26"/>
        <v>1</v>
      </c>
      <c r="R870">
        <f t="shared" si="27"/>
        <v>1</v>
      </c>
    </row>
    <row r="871" spans="1:18" x14ac:dyDescent="0.35">
      <c r="A871" s="11" t="s">
        <v>82</v>
      </c>
      <c r="B871" s="11" t="s">
        <v>1861</v>
      </c>
      <c r="C871" s="11" t="s">
        <v>1862</v>
      </c>
      <c r="D871" s="11" t="s">
        <v>325</v>
      </c>
      <c r="E871" s="11" t="s">
        <v>326</v>
      </c>
      <c r="F871" s="11" t="s">
        <v>332</v>
      </c>
      <c r="G871" s="11" t="s">
        <v>333</v>
      </c>
      <c r="I871" t="s">
        <v>1862</v>
      </c>
      <c r="K871" t="s">
        <v>333</v>
      </c>
      <c r="L871" t="s">
        <v>325</v>
      </c>
      <c r="M871" t="s">
        <v>326</v>
      </c>
      <c r="N871" t="s">
        <v>2459</v>
      </c>
      <c r="O871" t="s">
        <v>2459</v>
      </c>
      <c r="Q871">
        <f t="shared" si="26"/>
        <v>1</v>
      </c>
      <c r="R871">
        <f t="shared" si="27"/>
        <v>1</v>
      </c>
    </row>
    <row r="872" spans="1:18" x14ac:dyDescent="0.35">
      <c r="A872" s="11" t="s">
        <v>82</v>
      </c>
      <c r="B872" s="11" t="s">
        <v>1863</v>
      </c>
      <c r="C872" s="11" t="s">
        <v>1864</v>
      </c>
      <c r="D872" s="11" t="s">
        <v>325</v>
      </c>
      <c r="E872" s="11" t="s">
        <v>326</v>
      </c>
      <c r="F872" s="11" t="s">
        <v>332</v>
      </c>
      <c r="G872" s="11" t="s">
        <v>333</v>
      </c>
      <c r="I872" t="s">
        <v>1864</v>
      </c>
      <c r="K872" t="s">
        <v>333</v>
      </c>
      <c r="L872" t="s">
        <v>325</v>
      </c>
      <c r="M872" t="s">
        <v>326</v>
      </c>
      <c r="N872" t="s">
        <v>2459</v>
      </c>
      <c r="O872" t="s">
        <v>2459</v>
      </c>
      <c r="Q872">
        <f t="shared" si="26"/>
        <v>1</v>
      </c>
      <c r="R872">
        <f t="shared" si="27"/>
        <v>1</v>
      </c>
    </row>
    <row r="873" spans="1:18" x14ac:dyDescent="0.35">
      <c r="A873" s="11" t="s">
        <v>82</v>
      </c>
      <c r="B873" s="11" t="s">
        <v>1865</v>
      </c>
      <c r="C873" s="11" t="s">
        <v>1866</v>
      </c>
      <c r="D873" s="11" t="s">
        <v>325</v>
      </c>
      <c r="E873" s="11" t="s">
        <v>326</v>
      </c>
      <c r="F873" s="11" t="s">
        <v>332</v>
      </c>
      <c r="G873" s="11" t="s">
        <v>333</v>
      </c>
      <c r="I873" t="s">
        <v>1866</v>
      </c>
      <c r="K873" t="s">
        <v>333</v>
      </c>
      <c r="L873" t="s">
        <v>325</v>
      </c>
      <c r="M873" t="s">
        <v>326</v>
      </c>
      <c r="N873" t="s">
        <v>2459</v>
      </c>
      <c r="O873" t="s">
        <v>2459</v>
      </c>
      <c r="Q873">
        <f t="shared" si="26"/>
        <v>1</v>
      </c>
      <c r="R873">
        <f t="shared" si="27"/>
        <v>1</v>
      </c>
    </row>
    <row r="874" spans="1:18" x14ac:dyDescent="0.35">
      <c r="A874" s="11" t="s">
        <v>82</v>
      </c>
      <c r="B874" s="11" t="s">
        <v>1867</v>
      </c>
      <c r="C874" s="11" t="s">
        <v>1868</v>
      </c>
      <c r="D874" s="11" t="s">
        <v>325</v>
      </c>
      <c r="E874" s="11" t="s">
        <v>326</v>
      </c>
      <c r="F874" s="11" t="s">
        <v>332</v>
      </c>
      <c r="G874" s="11" t="s">
        <v>333</v>
      </c>
      <c r="I874" t="s">
        <v>1868</v>
      </c>
      <c r="K874" t="s">
        <v>333</v>
      </c>
      <c r="L874" t="s">
        <v>325</v>
      </c>
      <c r="M874" t="s">
        <v>326</v>
      </c>
      <c r="N874" t="s">
        <v>2459</v>
      </c>
      <c r="O874" t="s">
        <v>2459</v>
      </c>
      <c r="Q874">
        <f t="shared" si="26"/>
        <v>1</v>
      </c>
      <c r="R874">
        <f t="shared" si="27"/>
        <v>1</v>
      </c>
    </row>
    <row r="875" spans="1:18" x14ac:dyDescent="0.35">
      <c r="A875" s="11" t="s">
        <v>82</v>
      </c>
      <c r="B875" s="11" t="s">
        <v>1869</v>
      </c>
      <c r="C875" s="11" t="s">
        <v>1870</v>
      </c>
      <c r="D875" s="11" t="s">
        <v>325</v>
      </c>
      <c r="E875" s="11" t="s">
        <v>326</v>
      </c>
      <c r="F875" s="11" t="s">
        <v>332</v>
      </c>
      <c r="G875" s="11" t="s">
        <v>333</v>
      </c>
      <c r="I875" t="s">
        <v>1870</v>
      </c>
      <c r="K875" t="s">
        <v>333</v>
      </c>
      <c r="L875" t="s">
        <v>325</v>
      </c>
      <c r="M875" t="s">
        <v>326</v>
      </c>
      <c r="N875" t="s">
        <v>2459</v>
      </c>
      <c r="O875" t="s">
        <v>2459</v>
      </c>
      <c r="Q875">
        <f t="shared" si="26"/>
        <v>1</v>
      </c>
      <c r="R875">
        <f t="shared" si="27"/>
        <v>1</v>
      </c>
    </row>
    <row r="876" spans="1:18" x14ac:dyDescent="0.35">
      <c r="A876" s="11" t="s">
        <v>82</v>
      </c>
      <c r="B876" s="11" t="s">
        <v>1871</v>
      </c>
      <c r="C876" s="11" t="s">
        <v>1872</v>
      </c>
      <c r="D876" s="11" t="s">
        <v>325</v>
      </c>
      <c r="E876" s="11" t="s">
        <v>326</v>
      </c>
      <c r="F876" s="11" t="s">
        <v>332</v>
      </c>
      <c r="G876" s="11" t="s">
        <v>333</v>
      </c>
      <c r="I876" t="s">
        <v>1872</v>
      </c>
      <c r="K876" t="s">
        <v>333</v>
      </c>
      <c r="L876" t="s">
        <v>325</v>
      </c>
      <c r="M876" t="s">
        <v>326</v>
      </c>
      <c r="N876" t="s">
        <v>2459</v>
      </c>
      <c r="O876" t="s">
        <v>2459</v>
      </c>
      <c r="Q876">
        <f t="shared" si="26"/>
        <v>1</v>
      </c>
      <c r="R876">
        <f t="shared" si="27"/>
        <v>1</v>
      </c>
    </row>
    <row r="877" spans="1:18" x14ac:dyDescent="0.35">
      <c r="A877" s="11" t="s">
        <v>82</v>
      </c>
      <c r="B877" s="11" t="s">
        <v>1873</v>
      </c>
      <c r="C877" s="11" t="s">
        <v>1874</v>
      </c>
      <c r="D877" s="11" t="s">
        <v>325</v>
      </c>
      <c r="E877" s="11" t="s">
        <v>326</v>
      </c>
      <c r="F877" s="11" t="s">
        <v>332</v>
      </c>
      <c r="G877" s="11" t="s">
        <v>333</v>
      </c>
      <c r="I877" t="s">
        <v>1874</v>
      </c>
      <c r="K877" t="s">
        <v>333</v>
      </c>
      <c r="L877" t="s">
        <v>325</v>
      </c>
      <c r="M877" t="s">
        <v>326</v>
      </c>
      <c r="N877" t="s">
        <v>2459</v>
      </c>
      <c r="O877" t="s">
        <v>2459</v>
      </c>
      <c r="Q877">
        <f t="shared" si="26"/>
        <v>1</v>
      </c>
      <c r="R877">
        <f t="shared" si="27"/>
        <v>1</v>
      </c>
    </row>
    <row r="878" spans="1:18" x14ac:dyDescent="0.35">
      <c r="A878" s="11" t="s">
        <v>82</v>
      </c>
      <c r="B878" s="11" t="s">
        <v>1875</v>
      </c>
      <c r="C878" s="11" t="s">
        <v>1876</v>
      </c>
      <c r="D878" s="11" t="s">
        <v>325</v>
      </c>
      <c r="E878" s="11" t="s">
        <v>326</v>
      </c>
      <c r="F878" s="11" t="s">
        <v>332</v>
      </c>
      <c r="G878" s="11" t="s">
        <v>333</v>
      </c>
      <c r="I878" t="s">
        <v>1876</v>
      </c>
      <c r="K878" t="s">
        <v>333</v>
      </c>
      <c r="L878" t="s">
        <v>325</v>
      </c>
      <c r="M878" t="s">
        <v>326</v>
      </c>
      <c r="N878" t="s">
        <v>2459</v>
      </c>
      <c r="O878" t="s">
        <v>2459</v>
      </c>
      <c r="Q878">
        <f t="shared" si="26"/>
        <v>1</v>
      </c>
      <c r="R878">
        <f t="shared" si="27"/>
        <v>1</v>
      </c>
    </row>
    <row r="879" spans="1:18" x14ac:dyDescent="0.35">
      <c r="A879" s="11" t="s">
        <v>82</v>
      </c>
      <c r="B879" s="11" t="s">
        <v>1877</v>
      </c>
      <c r="C879" s="11" t="s">
        <v>1878</v>
      </c>
      <c r="D879" s="11" t="s">
        <v>325</v>
      </c>
      <c r="E879" s="11" t="s">
        <v>326</v>
      </c>
      <c r="F879" s="11" t="s">
        <v>335</v>
      </c>
      <c r="G879" s="11" t="s">
        <v>336</v>
      </c>
      <c r="I879" t="s">
        <v>1878</v>
      </c>
      <c r="K879" t="s">
        <v>336</v>
      </c>
      <c r="L879" t="s">
        <v>325</v>
      </c>
      <c r="M879" t="s">
        <v>326</v>
      </c>
      <c r="N879" t="s">
        <v>2459</v>
      </c>
      <c r="O879" t="s">
        <v>2459</v>
      </c>
      <c r="Q879">
        <f t="shared" si="26"/>
        <v>1</v>
      </c>
      <c r="R879">
        <f t="shared" si="27"/>
        <v>1</v>
      </c>
    </row>
    <row r="880" spans="1:18" x14ac:dyDescent="0.35">
      <c r="A880" s="11" t="s">
        <v>82</v>
      </c>
      <c r="B880" s="11" t="s">
        <v>1879</v>
      </c>
      <c r="C880" s="11" t="s">
        <v>1880</v>
      </c>
      <c r="D880" s="11" t="s">
        <v>325</v>
      </c>
      <c r="E880" s="11" t="s">
        <v>326</v>
      </c>
      <c r="F880" s="11" t="s">
        <v>335</v>
      </c>
      <c r="G880" s="11" t="s">
        <v>336</v>
      </c>
      <c r="I880" t="s">
        <v>1880</v>
      </c>
      <c r="K880" t="s">
        <v>336</v>
      </c>
      <c r="L880" t="s">
        <v>325</v>
      </c>
      <c r="M880" t="s">
        <v>326</v>
      </c>
      <c r="N880" t="s">
        <v>2459</v>
      </c>
      <c r="O880" t="s">
        <v>2459</v>
      </c>
      <c r="Q880">
        <f t="shared" si="26"/>
        <v>1</v>
      </c>
      <c r="R880">
        <f t="shared" si="27"/>
        <v>1</v>
      </c>
    </row>
    <row r="881" spans="1:18" x14ac:dyDescent="0.35">
      <c r="A881" s="11" t="s">
        <v>82</v>
      </c>
      <c r="B881" s="11" t="s">
        <v>1881</v>
      </c>
      <c r="C881" s="11" t="s">
        <v>1882</v>
      </c>
      <c r="D881" s="11" t="s">
        <v>325</v>
      </c>
      <c r="E881" s="11" t="s">
        <v>326</v>
      </c>
      <c r="F881" s="11" t="s">
        <v>335</v>
      </c>
      <c r="G881" s="11" t="s">
        <v>336</v>
      </c>
      <c r="I881" t="s">
        <v>1882</v>
      </c>
      <c r="K881" t="s">
        <v>336</v>
      </c>
      <c r="L881" t="s">
        <v>325</v>
      </c>
      <c r="M881" t="s">
        <v>326</v>
      </c>
      <c r="N881" t="s">
        <v>2459</v>
      </c>
      <c r="O881" t="s">
        <v>2459</v>
      </c>
      <c r="Q881">
        <f t="shared" si="26"/>
        <v>1</v>
      </c>
      <c r="R881">
        <f t="shared" si="27"/>
        <v>1</v>
      </c>
    </row>
    <row r="882" spans="1:18" x14ac:dyDescent="0.35">
      <c r="A882" s="11" t="s">
        <v>82</v>
      </c>
      <c r="B882" s="11" t="s">
        <v>1883</v>
      </c>
      <c r="C882" s="11" t="s">
        <v>1884</v>
      </c>
      <c r="D882" s="11" t="s">
        <v>325</v>
      </c>
      <c r="E882" s="11" t="s">
        <v>326</v>
      </c>
      <c r="F882" s="11" t="s">
        <v>335</v>
      </c>
      <c r="G882" s="11" t="s">
        <v>336</v>
      </c>
      <c r="I882" t="s">
        <v>1884</v>
      </c>
      <c r="K882" t="s">
        <v>336</v>
      </c>
      <c r="L882" t="s">
        <v>325</v>
      </c>
      <c r="M882" t="s">
        <v>326</v>
      </c>
      <c r="N882" t="s">
        <v>2459</v>
      </c>
      <c r="O882" t="s">
        <v>2459</v>
      </c>
      <c r="Q882">
        <f t="shared" si="26"/>
        <v>1</v>
      </c>
      <c r="R882">
        <f t="shared" si="27"/>
        <v>1</v>
      </c>
    </row>
    <row r="883" spans="1:18" x14ac:dyDescent="0.35">
      <c r="A883" s="11" t="s">
        <v>82</v>
      </c>
      <c r="B883" s="11" t="s">
        <v>1885</v>
      </c>
      <c r="C883" s="11" t="s">
        <v>1886</v>
      </c>
      <c r="D883" s="11" t="s">
        <v>325</v>
      </c>
      <c r="E883" s="11" t="s">
        <v>326</v>
      </c>
      <c r="F883" s="11" t="s">
        <v>335</v>
      </c>
      <c r="G883" s="11" t="s">
        <v>336</v>
      </c>
      <c r="I883" t="s">
        <v>1886</v>
      </c>
      <c r="K883" t="s">
        <v>336</v>
      </c>
      <c r="L883" t="s">
        <v>325</v>
      </c>
      <c r="M883" t="s">
        <v>326</v>
      </c>
      <c r="N883" t="s">
        <v>2459</v>
      </c>
      <c r="O883" t="s">
        <v>2459</v>
      </c>
      <c r="Q883">
        <f t="shared" si="26"/>
        <v>1</v>
      </c>
      <c r="R883">
        <f t="shared" si="27"/>
        <v>1</v>
      </c>
    </row>
    <row r="884" spans="1:18" x14ac:dyDescent="0.35">
      <c r="A884" s="11" t="s">
        <v>82</v>
      </c>
      <c r="B884" s="11" t="s">
        <v>1887</v>
      </c>
      <c r="C884" s="11" t="s">
        <v>1888</v>
      </c>
      <c r="D884" s="11" t="s">
        <v>325</v>
      </c>
      <c r="E884" s="11" t="s">
        <v>326</v>
      </c>
      <c r="F884" s="11" t="s">
        <v>335</v>
      </c>
      <c r="G884" s="11" t="s">
        <v>336</v>
      </c>
      <c r="I884" t="s">
        <v>1888</v>
      </c>
      <c r="K884" t="s">
        <v>336</v>
      </c>
      <c r="L884" t="s">
        <v>325</v>
      </c>
      <c r="M884" t="s">
        <v>326</v>
      </c>
      <c r="N884" t="s">
        <v>2459</v>
      </c>
      <c r="O884" t="s">
        <v>2459</v>
      </c>
      <c r="Q884">
        <f t="shared" si="26"/>
        <v>1</v>
      </c>
      <c r="R884">
        <f t="shared" si="27"/>
        <v>1</v>
      </c>
    </row>
    <row r="885" spans="1:18" x14ac:dyDescent="0.35">
      <c r="A885" s="11" t="s">
        <v>82</v>
      </c>
      <c r="B885" s="11" t="s">
        <v>1889</v>
      </c>
      <c r="C885" s="11" t="s">
        <v>1890</v>
      </c>
      <c r="D885" s="11" t="s">
        <v>325</v>
      </c>
      <c r="E885" s="11" t="s">
        <v>326</v>
      </c>
      <c r="F885" s="11" t="s">
        <v>335</v>
      </c>
      <c r="G885" s="11" t="s">
        <v>336</v>
      </c>
      <c r="I885" t="s">
        <v>1890</v>
      </c>
      <c r="K885" t="s">
        <v>336</v>
      </c>
      <c r="L885" t="s">
        <v>325</v>
      </c>
      <c r="M885" t="s">
        <v>326</v>
      </c>
      <c r="N885" t="s">
        <v>2459</v>
      </c>
      <c r="O885" t="s">
        <v>2459</v>
      </c>
      <c r="Q885">
        <f t="shared" si="26"/>
        <v>1</v>
      </c>
      <c r="R885">
        <f t="shared" si="27"/>
        <v>1</v>
      </c>
    </row>
    <row r="886" spans="1:18" x14ac:dyDescent="0.35">
      <c r="A886" s="11" t="s">
        <v>82</v>
      </c>
      <c r="B886" s="11" t="s">
        <v>1891</v>
      </c>
      <c r="C886" s="11" t="s">
        <v>1892</v>
      </c>
      <c r="D886" s="11" t="s">
        <v>338</v>
      </c>
      <c r="E886" s="11" t="s">
        <v>339</v>
      </c>
      <c r="F886" s="11" t="s">
        <v>340</v>
      </c>
      <c r="G886" s="11" t="s">
        <v>341</v>
      </c>
      <c r="I886" t="s">
        <v>1892</v>
      </c>
      <c r="K886" t="s">
        <v>333</v>
      </c>
      <c r="L886" t="s">
        <v>325</v>
      </c>
      <c r="M886" t="s">
        <v>326</v>
      </c>
      <c r="N886" t="s">
        <v>2410</v>
      </c>
      <c r="O886" t="s">
        <v>2410</v>
      </c>
      <c r="Q886" t="e">
        <f t="shared" si="26"/>
        <v>#N/A</v>
      </c>
      <c r="R886" t="e">
        <f t="shared" si="27"/>
        <v>#N/A</v>
      </c>
    </row>
    <row r="887" spans="1:18" x14ac:dyDescent="0.35">
      <c r="A887" s="11" t="s">
        <v>82</v>
      </c>
      <c r="B887" s="11" t="s">
        <v>1893</v>
      </c>
      <c r="C887" s="11" t="s">
        <v>1894</v>
      </c>
      <c r="D887" s="11" t="s">
        <v>338</v>
      </c>
      <c r="E887" s="11" t="s">
        <v>339</v>
      </c>
      <c r="F887" s="11" t="s">
        <v>340</v>
      </c>
      <c r="G887" s="11" t="s">
        <v>341</v>
      </c>
      <c r="I887" t="s">
        <v>1894</v>
      </c>
      <c r="K887" t="s">
        <v>341</v>
      </c>
      <c r="L887" t="s">
        <v>338</v>
      </c>
      <c r="M887" t="s">
        <v>339</v>
      </c>
      <c r="N887" t="s">
        <v>2459</v>
      </c>
      <c r="O887" t="s">
        <v>2459</v>
      </c>
      <c r="Q887">
        <f t="shared" si="26"/>
        <v>1</v>
      </c>
      <c r="R887">
        <f t="shared" si="27"/>
        <v>1</v>
      </c>
    </row>
    <row r="888" spans="1:18" x14ac:dyDescent="0.35">
      <c r="A888" s="11"/>
      <c r="B888" s="11"/>
      <c r="C888" s="11"/>
      <c r="D888" s="11"/>
      <c r="E888" s="11"/>
      <c r="F888" s="11"/>
      <c r="G888" s="11"/>
      <c r="I888" t="s">
        <v>2198</v>
      </c>
      <c r="K888" t="s">
        <v>341</v>
      </c>
      <c r="L888" t="s">
        <v>338</v>
      </c>
      <c r="M888" t="s">
        <v>339</v>
      </c>
      <c r="P888" t="s">
        <v>2298</v>
      </c>
      <c r="Q888" t="e">
        <f t="shared" si="26"/>
        <v>#N/A</v>
      </c>
      <c r="R888" t="e">
        <f t="shared" si="27"/>
        <v>#N/A</v>
      </c>
    </row>
    <row r="889" spans="1:18" x14ac:dyDescent="0.35">
      <c r="A889" s="11"/>
      <c r="B889" s="11"/>
      <c r="C889" s="11"/>
      <c r="D889" s="11"/>
      <c r="E889" s="11"/>
      <c r="F889" s="11"/>
      <c r="G889" s="11"/>
      <c r="I889" t="s">
        <v>2199</v>
      </c>
      <c r="K889" t="s">
        <v>341</v>
      </c>
      <c r="L889" t="s">
        <v>338</v>
      </c>
      <c r="M889" t="s">
        <v>339</v>
      </c>
      <c r="P889" t="s">
        <v>2298</v>
      </c>
      <c r="Q889" t="e">
        <f t="shared" si="26"/>
        <v>#N/A</v>
      </c>
      <c r="R889" t="e">
        <f t="shared" si="27"/>
        <v>#N/A</v>
      </c>
    </row>
    <row r="890" spans="1:18" x14ac:dyDescent="0.35">
      <c r="A890" s="11"/>
      <c r="B890" s="11"/>
      <c r="C890" s="11"/>
      <c r="D890" s="11"/>
      <c r="E890" s="11"/>
      <c r="F890" s="11"/>
      <c r="G890" s="11"/>
      <c r="I890" t="s">
        <v>2200</v>
      </c>
      <c r="K890" t="s">
        <v>341</v>
      </c>
      <c r="L890" t="s">
        <v>338</v>
      </c>
      <c r="M890" t="s">
        <v>339</v>
      </c>
      <c r="P890" t="s">
        <v>2298</v>
      </c>
      <c r="Q890" t="e">
        <f t="shared" si="26"/>
        <v>#N/A</v>
      </c>
      <c r="R890" t="e">
        <f t="shared" si="27"/>
        <v>#N/A</v>
      </c>
    </row>
    <row r="891" spans="1:18" x14ac:dyDescent="0.35">
      <c r="A891" s="11"/>
      <c r="B891" s="11"/>
      <c r="C891" s="11"/>
      <c r="D891" s="11"/>
      <c r="E891" s="11"/>
      <c r="F891" s="11"/>
      <c r="G891" s="11"/>
      <c r="I891" t="s">
        <v>2197</v>
      </c>
      <c r="K891" t="s">
        <v>336</v>
      </c>
      <c r="L891" t="s">
        <v>325</v>
      </c>
      <c r="M891" t="s">
        <v>326</v>
      </c>
      <c r="N891" t="s">
        <v>2410</v>
      </c>
      <c r="O891" t="s">
        <v>2410</v>
      </c>
      <c r="P891" t="s">
        <v>2298</v>
      </c>
      <c r="Q891" t="e">
        <f t="shared" si="26"/>
        <v>#N/A</v>
      </c>
      <c r="R891" t="e">
        <f t="shared" si="27"/>
        <v>#N/A</v>
      </c>
    </row>
    <row r="892" spans="1:18" x14ac:dyDescent="0.35">
      <c r="A892" s="11" t="s">
        <v>82</v>
      </c>
      <c r="B892" s="11" t="s">
        <v>1895</v>
      </c>
      <c r="C892" s="11" t="s">
        <v>1896</v>
      </c>
      <c r="D892" s="11" t="s">
        <v>338</v>
      </c>
      <c r="E892" s="11" t="s">
        <v>339</v>
      </c>
      <c r="F892" s="11" t="s">
        <v>340</v>
      </c>
      <c r="G892" s="11" t="s">
        <v>341</v>
      </c>
      <c r="I892" t="s">
        <v>1896</v>
      </c>
      <c r="K892" t="s">
        <v>341</v>
      </c>
      <c r="L892" t="s">
        <v>338</v>
      </c>
      <c r="M892" t="s">
        <v>339</v>
      </c>
      <c r="N892" t="s">
        <v>2459</v>
      </c>
      <c r="O892" t="s">
        <v>2459</v>
      </c>
      <c r="Q892">
        <f t="shared" si="26"/>
        <v>1</v>
      </c>
      <c r="R892">
        <f t="shared" si="27"/>
        <v>1</v>
      </c>
    </row>
    <row r="893" spans="1:18" x14ac:dyDescent="0.35">
      <c r="A893" s="11"/>
      <c r="B893" s="11"/>
      <c r="C893" s="11"/>
      <c r="D893" s="11"/>
      <c r="E893" s="11"/>
      <c r="F893" s="11"/>
      <c r="G893" s="11"/>
      <c r="I893" t="s">
        <v>2194</v>
      </c>
      <c r="K893" t="s">
        <v>333</v>
      </c>
      <c r="L893" t="s">
        <v>325</v>
      </c>
      <c r="M893" t="s">
        <v>326</v>
      </c>
      <c r="N893" t="s">
        <v>2410</v>
      </c>
      <c r="O893" t="s">
        <v>2410</v>
      </c>
      <c r="P893" t="s">
        <v>2299</v>
      </c>
      <c r="Q893" t="e">
        <f t="shared" si="26"/>
        <v>#N/A</v>
      </c>
      <c r="R893" t="e">
        <f t="shared" si="27"/>
        <v>#N/A</v>
      </c>
    </row>
    <row r="894" spans="1:18" x14ac:dyDescent="0.35">
      <c r="A894" s="11"/>
      <c r="B894" s="11"/>
      <c r="C894" s="11"/>
      <c r="D894" s="11"/>
      <c r="E894" s="11"/>
      <c r="F894" s="11"/>
      <c r="G894" s="11"/>
      <c r="I894" t="s">
        <v>2264</v>
      </c>
      <c r="K894" t="s">
        <v>333</v>
      </c>
      <c r="L894" t="s">
        <v>325</v>
      </c>
      <c r="M894" t="s">
        <v>326</v>
      </c>
      <c r="N894" t="s">
        <v>2410</v>
      </c>
      <c r="O894" t="s">
        <v>2410</v>
      </c>
      <c r="P894" t="s">
        <v>2299</v>
      </c>
      <c r="Q894" t="e">
        <f t="shared" si="26"/>
        <v>#N/A</v>
      </c>
      <c r="R894" t="e">
        <f t="shared" si="27"/>
        <v>#N/A</v>
      </c>
    </row>
    <row r="895" spans="1:18" x14ac:dyDescent="0.35">
      <c r="A895" s="11"/>
      <c r="B895" s="11"/>
      <c r="C895" s="11"/>
      <c r="D895" s="11"/>
      <c r="E895" s="11"/>
      <c r="F895" s="11"/>
      <c r="G895" s="11"/>
      <c r="I895" t="s">
        <v>2201</v>
      </c>
      <c r="K895" t="s">
        <v>341</v>
      </c>
      <c r="L895" t="s">
        <v>338</v>
      </c>
      <c r="M895" t="s">
        <v>339</v>
      </c>
      <c r="P895" t="s">
        <v>2299</v>
      </c>
      <c r="Q895" t="e">
        <f t="shared" si="26"/>
        <v>#N/A</v>
      </c>
      <c r="R895" t="e">
        <f t="shared" si="27"/>
        <v>#N/A</v>
      </c>
    </row>
    <row r="896" spans="1:18" x14ac:dyDescent="0.35">
      <c r="A896" s="11"/>
      <c r="B896" s="11"/>
      <c r="C896" s="11"/>
      <c r="D896" s="11"/>
      <c r="E896" s="11"/>
      <c r="F896" s="11"/>
      <c r="G896" s="11"/>
      <c r="I896" t="s">
        <v>2202</v>
      </c>
      <c r="K896" t="s">
        <v>341</v>
      </c>
      <c r="L896" t="s">
        <v>338</v>
      </c>
      <c r="M896" t="s">
        <v>339</v>
      </c>
      <c r="P896" t="s">
        <v>2299</v>
      </c>
      <c r="Q896" t="e">
        <f t="shared" si="26"/>
        <v>#N/A</v>
      </c>
      <c r="R896" t="e">
        <f t="shared" si="27"/>
        <v>#N/A</v>
      </c>
    </row>
    <row r="897" spans="1:18" x14ac:dyDescent="0.35">
      <c r="A897" s="11" t="s">
        <v>82</v>
      </c>
      <c r="B897" s="11" t="s">
        <v>1897</v>
      </c>
      <c r="C897" s="11" t="s">
        <v>1898</v>
      </c>
      <c r="D897" s="11" t="s">
        <v>338</v>
      </c>
      <c r="E897" s="11" t="s">
        <v>339</v>
      </c>
      <c r="F897" s="11" t="s">
        <v>340</v>
      </c>
      <c r="G897" s="11" t="s">
        <v>341</v>
      </c>
      <c r="I897" t="s">
        <v>1898</v>
      </c>
      <c r="K897" t="s">
        <v>341</v>
      </c>
      <c r="L897" t="s">
        <v>338</v>
      </c>
      <c r="M897" t="s">
        <v>339</v>
      </c>
      <c r="N897" t="s">
        <v>2459</v>
      </c>
      <c r="O897" t="s">
        <v>2459</v>
      </c>
      <c r="Q897">
        <f t="shared" si="26"/>
        <v>1</v>
      </c>
      <c r="R897">
        <f t="shared" si="27"/>
        <v>1</v>
      </c>
    </row>
    <row r="898" spans="1:18" x14ac:dyDescent="0.35">
      <c r="A898" s="11" t="s">
        <v>82</v>
      </c>
      <c r="B898" s="11" t="s">
        <v>1899</v>
      </c>
      <c r="C898" s="11" t="s">
        <v>1900</v>
      </c>
      <c r="D898" s="11" t="s">
        <v>338</v>
      </c>
      <c r="E898" s="11" t="s">
        <v>339</v>
      </c>
      <c r="F898" s="11" t="s">
        <v>340</v>
      </c>
      <c r="G898" s="11" t="s">
        <v>341</v>
      </c>
      <c r="I898" t="s">
        <v>1900</v>
      </c>
      <c r="K898" t="s">
        <v>341</v>
      </c>
      <c r="L898" t="s">
        <v>338</v>
      </c>
      <c r="M898" t="s">
        <v>339</v>
      </c>
      <c r="N898" t="s">
        <v>2459</v>
      </c>
      <c r="O898" t="s">
        <v>2459</v>
      </c>
      <c r="Q898">
        <f t="shared" si="26"/>
        <v>1</v>
      </c>
      <c r="R898">
        <f t="shared" si="27"/>
        <v>1</v>
      </c>
    </row>
    <row r="899" spans="1:18" x14ac:dyDescent="0.35">
      <c r="A899" s="11" t="s">
        <v>82</v>
      </c>
      <c r="B899" s="11" t="s">
        <v>1901</v>
      </c>
      <c r="C899" s="11" t="s">
        <v>1902</v>
      </c>
      <c r="D899" s="11" t="s">
        <v>338</v>
      </c>
      <c r="E899" s="11" t="s">
        <v>339</v>
      </c>
      <c r="F899" s="11" t="s">
        <v>340</v>
      </c>
      <c r="G899" s="11" t="s">
        <v>341</v>
      </c>
      <c r="I899" t="s">
        <v>1902</v>
      </c>
      <c r="K899" t="s">
        <v>341</v>
      </c>
      <c r="L899" t="s">
        <v>338</v>
      </c>
      <c r="M899" t="s">
        <v>339</v>
      </c>
      <c r="N899" t="s">
        <v>2459</v>
      </c>
      <c r="O899" t="s">
        <v>2459</v>
      </c>
      <c r="Q899">
        <f t="shared" ref="Q899:Q963" si="28">MATCH(G899,K899,0)</f>
        <v>1</v>
      </c>
      <c r="R899">
        <f t="shared" ref="R899:R963" si="29">MATCH(E899,M899,0)</f>
        <v>1</v>
      </c>
    </row>
    <row r="900" spans="1:18" x14ac:dyDescent="0.35">
      <c r="A900" s="11"/>
      <c r="B900" s="11"/>
      <c r="C900" s="11"/>
      <c r="D900" s="11"/>
      <c r="E900" s="11"/>
      <c r="F900" s="11"/>
      <c r="G900" s="11"/>
      <c r="I900" t="s">
        <v>2205</v>
      </c>
      <c r="K900" t="s">
        <v>341</v>
      </c>
      <c r="L900" t="s">
        <v>338</v>
      </c>
      <c r="M900" t="s">
        <v>339</v>
      </c>
      <c r="P900" t="s">
        <v>2300</v>
      </c>
      <c r="Q900" t="e">
        <f t="shared" si="28"/>
        <v>#N/A</v>
      </c>
      <c r="R900" t="e">
        <f t="shared" si="29"/>
        <v>#N/A</v>
      </c>
    </row>
    <row r="901" spans="1:18" x14ac:dyDescent="0.35">
      <c r="A901" s="11"/>
      <c r="B901" s="11"/>
      <c r="C901" s="11"/>
      <c r="D901" s="11"/>
      <c r="E901" s="11"/>
      <c r="F901" s="11"/>
      <c r="G901" s="11"/>
      <c r="I901" t="s">
        <v>2206</v>
      </c>
      <c r="K901" t="s">
        <v>341</v>
      </c>
      <c r="L901" t="s">
        <v>338</v>
      </c>
      <c r="M901" t="s">
        <v>339</v>
      </c>
      <c r="P901" t="s">
        <v>2300</v>
      </c>
      <c r="Q901" t="e">
        <f t="shared" si="28"/>
        <v>#N/A</v>
      </c>
      <c r="R901" t="e">
        <f t="shared" si="29"/>
        <v>#N/A</v>
      </c>
    </row>
    <row r="902" spans="1:18" x14ac:dyDescent="0.35">
      <c r="A902" s="11"/>
      <c r="B902" s="11"/>
      <c r="C902" s="11"/>
      <c r="D902" s="11"/>
      <c r="E902" s="11"/>
      <c r="F902" s="11"/>
      <c r="G902" s="11"/>
      <c r="I902" t="s">
        <v>2207</v>
      </c>
      <c r="K902" t="s">
        <v>341</v>
      </c>
      <c r="L902" t="s">
        <v>338</v>
      </c>
      <c r="M902" t="s">
        <v>339</v>
      </c>
      <c r="P902" t="s">
        <v>2300</v>
      </c>
      <c r="Q902" t="e">
        <f t="shared" si="28"/>
        <v>#N/A</v>
      </c>
      <c r="R902" t="e">
        <f t="shared" si="29"/>
        <v>#N/A</v>
      </c>
    </row>
    <row r="903" spans="1:18" x14ac:dyDescent="0.35">
      <c r="A903" s="11"/>
      <c r="B903" s="11"/>
      <c r="C903" s="11"/>
      <c r="D903" s="11"/>
      <c r="E903" s="11"/>
      <c r="F903" s="11"/>
      <c r="G903" s="11"/>
      <c r="I903" t="s">
        <v>2208</v>
      </c>
      <c r="K903" t="s">
        <v>341</v>
      </c>
      <c r="L903" t="s">
        <v>338</v>
      </c>
      <c r="M903" t="s">
        <v>339</v>
      </c>
      <c r="P903" t="s">
        <v>2300</v>
      </c>
      <c r="Q903" t="e">
        <f t="shared" si="28"/>
        <v>#N/A</v>
      </c>
      <c r="R903" t="e">
        <f t="shared" si="29"/>
        <v>#N/A</v>
      </c>
    </row>
    <row r="904" spans="1:18" x14ac:dyDescent="0.35">
      <c r="A904" s="11" t="s">
        <v>82</v>
      </c>
      <c r="B904" s="11" t="s">
        <v>1903</v>
      </c>
      <c r="C904" s="11" t="s">
        <v>1904</v>
      </c>
      <c r="D904" s="11" t="s">
        <v>338</v>
      </c>
      <c r="E904" s="11" t="s">
        <v>339</v>
      </c>
      <c r="F904" s="11" t="s">
        <v>340</v>
      </c>
      <c r="G904" s="11" t="s">
        <v>341</v>
      </c>
      <c r="I904" t="s">
        <v>1904</v>
      </c>
      <c r="K904" t="s">
        <v>341</v>
      </c>
      <c r="L904" t="s">
        <v>338</v>
      </c>
      <c r="M904" t="s">
        <v>339</v>
      </c>
      <c r="N904" t="s">
        <v>2459</v>
      </c>
      <c r="O904" t="s">
        <v>2459</v>
      </c>
      <c r="Q904">
        <f t="shared" si="28"/>
        <v>1</v>
      </c>
      <c r="R904">
        <f t="shared" si="29"/>
        <v>1</v>
      </c>
    </row>
    <row r="905" spans="1:18" x14ac:dyDescent="0.35">
      <c r="A905" s="11" t="s">
        <v>82</v>
      </c>
      <c r="B905" s="11" t="s">
        <v>1905</v>
      </c>
      <c r="C905" s="11" t="s">
        <v>1906</v>
      </c>
      <c r="D905" s="11" t="s">
        <v>338</v>
      </c>
      <c r="E905" s="11" t="s">
        <v>339</v>
      </c>
      <c r="F905" s="11" t="s">
        <v>340</v>
      </c>
      <c r="G905" s="11" t="s">
        <v>341</v>
      </c>
      <c r="I905" t="s">
        <v>1906</v>
      </c>
      <c r="K905" t="s">
        <v>341</v>
      </c>
      <c r="L905" t="s">
        <v>338</v>
      </c>
      <c r="M905" t="s">
        <v>339</v>
      </c>
      <c r="N905" t="s">
        <v>2459</v>
      </c>
      <c r="O905" t="s">
        <v>2459</v>
      </c>
      <c r="Q905">
        <f t="shared" si="28"/>
        <v>1</v>
      </c>
      <c r="R905">
        <f t="shared" si="29"/>
        <v>1</v>
      </c>
    </row>
    <row r="906" spans="1:18" x14ac:dyDescent="0.35">
      <c r="A906" s="11"/>
      <c r="B906" s="11"/>
      <c r="C906" s="11"/>
      <c r="D906" s="11"/>
      <c r="E906" s="11"/>
      <c r="F906" s="11"/>
      <c r="G906" s="11"/>
      <c r="I906" t="s">
        <v>2203</v>
      </c>
      <c r="K906" t="s">
        <v>341</v>
      </c>
      <c r="L906" t="s">
        <v>338</v>
      </c>
      <c r="M906" t="s">
        <v>339</v>
      </c>
      <c r="P906" t="s">
        <v>2301</v>
      </c>
      <c r="Q906" t="e">
        <f t="shared" si="28"/>
        <v>#N/A</v>
      </c>
      <c r="R906" t="e">
        <f t="shared" si="29"/>
        <v>#N/A</v>
      </c>
    </row>
    <row r="907" spans="1:18" x14ac:dyDescent="0.35">
      <c r="A907" s="11"/>
      <c r="B907" s="11"/>
      <c r="C907" s="11"/>
      <c r="D907" s="11"/>
      <c r="E907" s="11"/>
      <c r="F907" s="11"/>
      <c r="G907" s="11"/>
      <c r="I907" t="s">
        <v>2204</v>
      </c>
      <c r="K907" t="s">
        <v>341</v>
      </c>
      <c r="L907" t="s">
        <v>338</v>
      </c>
      <c r="M907" t="s">
        <v>339</v>
      </c>
      <c r="P907" t="s">
        <v>2301</v>
      </c>
      <c r="Q907" t="e">
        <f t="shared" si="28"/>
        <v>#N/A</v>
      </c>
      <c r="R907" t="e">
        <f t="shared" si="29"/>
        <v>#N/A</v>
      </c>
    </row>
    <row r="908" spans="1:18" x14ac:dyDescent="0.35">
      <c r="A908" s="11"/>
      <c r="B908" s="11"/>
      <c r="C908" s="11"/>
      <c r="D908" s="11"/>
      <c r="E908" s="11"/>
      <c r="F908" s="11"/>
      <c r="G908" s="11"/>
      <c r="I908" t="s">
        <v>2195</v>
      </c>
      <c r="K908" t="s">
        <v>333</v>
      </c>
      <c r="L908" t="s">
        <v>325</v>
      </c>
      <c r="M908" t="s">
        <v>326</v>
      </c>
      <c r="N908" t="s">
        <v>2410</v>
      </c>
      <c r="O908" t="s">
        <v>2410</v>
      </c>
      <c r="P908" t="s">
        <v>2301</v>
      </c>
      <c r="Q908" t="e">
        <f t="shared" si="28"/>
        <v>#N/A</v>
      </c>
      <c r="R908" t="e">
        <f t="shared" si="29"/>
        <v>#N/A</v>
      </c>
    </row>
    <row r="909" spans="1:18" x14ac:dyDescent="0.35">
      <c r="A909" s="11"/>
      <c r="B909" s="11"/>
      <c r="C909" s="11"/>
      <c r="D909" s="11"/>
      <c r="E909" s="11"/>
      <c r="F909" s="11"/>
      <c r="G909" s="11"/>
      <c r="I909" t="s">
        <v>2196</v>
      </c>
      <c r="K909" t="s">
        <v>333</v>
      </c>
      <c r="L909" t="s">
        <v>325</v>
      </c>
      <c r="M909" t="s">
        <v>326</v>
      </c>
      <c r="N909" t="s">
        <v>2410</v>
      </c>
      <c r="O909" t="s">
        <v>2410</v>
      </c>
      <c r="P909" t="s">
        <v>2301</v>
      </c>
      <c r="Q909" t="e">
        <f t="shared" si="28"/>
        <v>#N/A</v>
      </c>
      <c r="R909" t="e">
        <f t="shared" si="29"/>
        <v>#N/A</v>
      </c>
    </row>
    <row r="910" spans="1:18" x14ac:dyDescent="0.35">
      <c r="A910" s="11" t="s">
        <v>82</v>
      </c>
      <c r="B910" s="11" t="s">
        <v>1907</v>
      </c>
      <c r="C910" s="11" t="s">
        <v>1908</v>
      </c>
      <c r="D910" s="11" t="s">
        <v>338</v>
      </c>
      <c r="E910" s="11" t="s">
        <v>339</v>
      </c>
      <c r="F910" s="11" t="s">
        <v>340</v>
      </c>
      <c r="G910" s="11" t="s">
        <v>341</v>
      </c>
      <c r="I910" t="s">
        <v>1908</v>
      </c>
      <c r="K910" t="s">
        <v>341</v>
      </c>
      <c r="L910" t="s">
        <v>338</v>
      </c>
      <c r="M910" t="s">
        <v>339</v>
      </c>
      <c r="N910" t="s">
        <v>2459</v>
      </c>
      <c r="O910" t="s">
        <v>2459</v>
      </c>
      <c r="Q910">
        <f t="shared" si="28"/>
        <v>1</v>
      </c>
      <c r="R910">
        <f t="shared" si="29"/>
        <v>1</v>
      </c>
    </row>
    <row r="911" spans="1:18" x14ac:dyDescent="0.35">
      <c r="A911" s="11" t="s">
        <v>82</v>
      </c>
      <c r="B911" s="11" t="s">
        <v>1909</v>
      </c>
      <c r="C911" s="11" t="s">
        <v>1447</v>
      </c>
      <c r="D911" s="11" t="s">
        <v>338</v>
      </c>
      <c r="E911" s="11" t="s">
        <v>339</v>
      </c>
      <c r="F911" s="11" t="s">
        <v>343</v>
      </c>
      <c r="G911" s="11" t="s">
        <v>73</v>
      </c>
      <c r="I911" t="s">
        <v>1447</v>
      </c>
      <c r="K911" t="s">
        <v>74</v>
      </c>
      <c r="L911" t="s">
        <v>338</v>
      </c>
      <c r="M911" t="s">
        <v>339</v>
      </c>
      <c r="N911" t="s">
        <v>2459</v>
      </c>
      <c r="O911" t="s">
        <v>2459</v>
      </c>
      <c r="P911" t="s">
        <v>2260</v>
      </c>
      <c r="Q911" t="e">
        <f t="shared" si="28"/>
        <v>#N/A</v>
      </c>
      <c r="R911">
        <f t="shared" si="29"/>
        <v>1</v>
      </c>
    </row>
    <row r="912" spans="1:18" x14ac:dyDescent="0.35">
      <c r="A912" s="11"/>
      <c r="B912" s="11"/>
      <c r="C912" s="11"/>
      <c r="D912" s="11"/>
      <c r="E912" s="11"/>
      <c r="F912" s="11"/>
      <c r="G912" s="11"/>
      <c r="I912" t="s">
        <v>2261</v>
      </c>
      <c r="K912" t="s">
        <v>74</v>
      </c>
      <c r="L912" t="s">
        <v>338</v>
      </c>
      <c r="M912" t="s">
        <v>339</v>
      </c>
      <c r="P912" t="s">
        <v>2307</v>
      </c>
      <c r="Q912" t="e">
        <f t="shared" si="28"/>
        <v>#N/A</v>
      </c>
      <c r="R912" t="e">
        <f t="shared" si="29"/>
        <v>#N/A</v>
      </c>
    </row>
    <row r="913" spans="1:18" x14ac:dyDescent="0.35">
      <c r="A913" s="11"/>
      <c r="B913" s="11"/>
      <c r="C913" s="11"/>
      <c r="D913" s="11"/>
      <c r="E913" s="11"/>
      <c r="F913" s="11"/>
      <c r="G913" s="11"/>
      <c r="I913" t="s">
        <v>2209</v>
      </c>
      <c r="K913" t="s">
        <v>74</v>
      </c>
      <c r="L913" t="s">
        <v>338</v>
      </c>
      <c r="M913" t="s">
        <v>339</v>
      </c>
      <c r="P913" t="s">
        <v>2307</v>
      </c>
      <c r="Q913" t="e">
        <f t="shared" si="28"/>
        <v>#N/A</v>
      </c>
      <c r="R913" t="e">
        <f t="shared" si="29"/>
        <v>#N/A</v>
      </c>
    </row>
    <row r="914" spans="1:18" x14ac:dyDescent="0.35">
      <c r="A914" s="11"/>
      <c r="B914" s="11"/>
      <c r="C914" s="11"/>
      <c r="D914" s="11"/>
      <c r="E914" s="11"/>
      <c r="F914" s="11"/>
      <c r="G914" s="11"/>
      <c r="I914" t="s">
        <v>2240</v>
      </c>
      <c r="K914" t="s">
        <v>358</v>
      </c>
      <c r="L914" t="s">
        <v>355</v>
      </c>
      <c r="M914" t="s">
        <v>356</v>
      </c>
      <c r="N914" t="s">
        <v>2410</v>
      </c>
      <c r="O914" t="s">
        <v>2410</v>
      </c>
      <c r="P914" t="s">
        <v>2307</v>
      </c>
      <c r="Q914" t="e">
        <f t="shared" si="28"/>
        <v>#N/A</v>
      </c>
      <c r="R914" t="e">
        <f t="shared" si="29"/>
        <v>#N/A</v>
      </c>
    </row>
    <row r="915" spans="1:18" x14ac:dyDescent="0.35">
      <c r="A915" s="11" t="s">
        <v>82</v>
      </c>
      <c r="B915" s="11" t="s">
        <v>1910</v>
      </c>
      <c r="C915" s="11" t="s">
        <v>1911</v>
      </c>
      <c r="D915" s="11" t="s">
        <v>338</v>
      </c>
      <c r="E915" s="11" t="s">
        <v>339</v>
      </c>
      <c r="F915" s="11" t="s">
        <v>343</v>
      </c>
      <c r="G915" s="11" t="s">
        <v>73</v>
      </c>
      <c r="I915" t="s">
        <v>1911</v>
      </c>
      <c r="K915" t="s">
        <v>74</v>
      </c>
      <c r="L915" t="s">
        <v>338</v>
      </c>
      <c r="M915" t="s">
        <v>339</v>
      </c>
      <c r="N915" t="s">
        <v>2459</v>
      </c>
      <c r="O915" t="s">
        <v>2459</v>
      </c>
      <c r="P915" t="s">
        <v>2260</v>
      </c>
      <c r="Q915" t="e">
        <f t="shared" si="28"/>
        <v>#N/A</v>
      </c>
      <c r="R915">
        <f t="shared" si="29"/>
        <v>1</v>
      </c>
    </row>
    <row r="916" spans="1:18" x14ac:dyDescent="0.35">
      <c r="A916" s="11" t="s">
        <v>82</v>
      </c>
      <c r="B916" s="11" t="s">
        <v>1912</v>
      </c>
      <c r="C916" s="11" t="s">
        <v>1913</v>
      </c>
      <c r="D916" s="11" t="s">
        <v>338</v>
      </c>
      <c r="E916" s="11" t="s">
        <v>339</v>
      </c>
      <c r="F916" s="11" t="s">
        <v>343</v>
      </c>
      <c r="G916" s="11" t="s">
        <v>73</v>
      </c>
      <c r="I916" t="s">
        <v>1913</v>
      </c>
      <c r="K916" t="s">
        <v>74</v>
      </c>
      <c r="L916" t="s">
        <v>338</v>
      </c>
      <c r="M916" t="s">
        <v>339</v>
      </c>
      <c r="N916" t="s">
        <v>2459</v>
      </c>
      <c r="O916" t="s">
        <v>2459</v>
      </c>
      <c r="P916" t="s">
        <v>2260</v>
      </c>
      <c r="Q916" t="e">
        <f t="shared" si="28"/>
        <v>#N/A</v>
      </c>
      <c r="R916">
        <f t="shared" si="29"/>
        <v>1</v>
      </c>
    </row>
    <row r="917" spans="1:18" x14ac:dyDescent="0.35">
      <c r="A917" s="11" t="s">
        <v>82</v>
      </c>
      <c r="B917" s="11" t="s">
        <v>1914</v>
      </c>
      <c r="C917" s="11" t="s">
        <v>73</v>
      </c>
      <c r="D917" s="11" t="s">
        <v>338</v>
      </c>
      <c r="E917" s="11" t="s">
        <v>339</v>
      </c>
      <c r="F917" s="11" t="s">
        <v>343</v>
      </c>
      <c r="G917" s="11" t="s">
        <v>73</v>
      </c>
      <c r="I917" t="s">
        <v>73</v>
      </c>
      <c r="K917" t="s">
        <v>57</v>
      </c>
      <c r="L917" t="s">
        <v>338</v>
      </c>
      <c r="M917" t="s">
        <v>339</v>
      </c>
      <c r="N917" t="s">
        <v>2410</v>
      </c>
      <c r="O917" t="s">
        <v>2459</v>
      </c>
      <c r="Q917" t="e">
        <f t="shared" si="28"/>
        <v>#N/A</v>
      </c>
      <c r="R917">
        <f t="shared" si="29"/>
        <v>1</v>
      </c>
    </row>
    <row r="918" spans="1:18" x14ac:dyDescent="0.35">
      <c r="A918" s="11" t="s">
        <v>82</v>
      </c>
      <c r="B918" s="11" t="s">
        <v>1915</v>
      </c>
      <c r="C918" s="11" t="s">
        <v>1916</v>
      </c>
      <c r="D918" s="11" t="s">
        <v>338</v>
      </c>
      <c r="E918" s="11" t="s">
        <v>339</v>
      </c>
      <c r="F918" s="11" t="s">
        <v>343</v>
      </c>
      <c r="G918" s="11" t="s">
        <v>73</v>
      </c>
      <c r="I918" t="s">
        <v>1916</v>
      </c>
      <c r="K918" t="s">
        <v>57</v>
      </c>
      <c r="L918" t="s">
        <v>338</v>
      </c>
      <c r="M918" t="s">
        <v>339</v>
      </c>
      <c r="N918" t="s">
        <v>2410</v>
      </c>
      <c r="O918" t="s">
        <v>2459</v>
      </c>
      <c r="Q918" t="e">
        <f t="shared" si="28"/>
        <v>#N/A</v>
      </c>
      <c r="R918">
        <f t="shared" si="29"/>
        <v>1</v>
      </c>
    </row>
    <row r="919" spans="1:18" x14ac:dyDescent="0.35">
      <c r="A919" s="11"/>
      <c r="B919" s="11"/>
      <c r="C919" s="11"/>
      <c r="D919" s="11"/>
      <c r="E919" s="11"/>
      <c r="F919" s="11"/>
      <c r="G919" s="11"/>
      <c r="I919" t="s">
        <v>2220</v>
      </c>
      <c r="K919" t="s">
        <v>78</v>
      </c>
      <c r="L919" t="s">
        <v>345</v>
      </c>
      <c r="M919" t="s">
        <v>346</v>
      </c>
      <c r="N919" t="s">
        <v>2410</v>
      </c>
      <c r="O919" t="s">
        <v>2410</v>
      </c>
      <c r="P919" t="s">
        <v>2302</v>
      </c>
      <c r="Q919" t="e">
        <f t="shared" si="28"/>
        <v>#N/A</v>
      </c>
      <c r="R919" t="e">
        <f t="shared" si="29"/>
        <v>#N/A</v>
      </c>
    </row>
    <row r="920" spans="1:18" x14ac:dyDescent="0.35">
      <c r="A920" s="11"/>
      <c r="B920" s="11"/>
      <c r="C920" s="11"/>
      <c r="D920" s="11"/>
      <c r="E920" s="11"/>
      <c r="F920" s="11"/>
      <c r="G920" s="11"/>
      <c r="I920" t="s">
        <v>1646</v>
      </c>
      <c r="K920" t="s">
        <v>78</v>
      </c>
      <c r="L920" t="s">
        <v>345</v>
      </c>
      <c r="M920" t="s">
        <v>346</v>
      </c>
      <c r="N920" t="s">
        <v>2410</v>
      </c>
      <c r="O920" t="s">
        <v>2410</v>
      </c>
      <c r="P920" t="s">
        <v>2302</v>
      </c>
      <c r="Q920" t="e">
        <f t="shared" si="28"/>
        <v>#N/A</v>
      </c>
      <c r="R920" t="e">
        <f t="shared" si="29"/>
        <v>#N/A</v>
      </c>
    </row>
    <row r="921" spans="1:18" x14ac:dyDescent="0.35">
      <c r="A921" s="11" t="s">
        <v>82</v>
      </c>
      <c r="B921" s="11" t="s">
        <v>1917</v>
      </c>
      <c r="C921" s="11" t="s">
        <v>57</v>
      </c>
      <c r="D921" s="11" t="s">
        <v>338</v>
      </c>
      <c r="E921" s="11" t="s">
        <v>339</v>
      </c>
      <c r="F921" s="11" t="s">
        <v>343</v>
      </c>
      <c r="G921" s="11" t="s">
        <v>73</v>
      </c>
      <c r="I921" t="s">
        <v>57</v>
      </c>
      <c r="K921" t="s">
        <v>57</v>
      </c>
      <c r="L921" t="s">
        <v>338</v>
      </c>
      <c r="M921" t="s">
        <v>339</v>
      </c>
      <c r="N921" t="s">
        <v>2410</v>
      </c>
      <c r="O921" t="s">
        <v>2459</v>
      </c>
      <c r="Q921" t="e">
        <f t="shared" si="28"/>
        <v>#N/A</v>
      </c>
      <c r="R921">
        <f t="shared" si="29"/>
        <v>1</v>
      </c>
    </row>
    <row r="922" spans="1:18" x14ac:dyDescent="0.35">
      <c r="A922" s="11" t="s">
        <v>82</v>
      </c>
      <c r="B922" s="11" t="s">
        <v>1918</v>
      </c>
      <c r="C922" s="11" t="s">
        <v>1919</v>
      </c>
      <c r="D922" s="11" t="s">
        <v>338</v>
      </c>
      <c r="E922" s="11" t="s">
        <v>339</v>
      </c>
      <c r="F922" s="11" t="s">
        <v>343</v>
      </c>
      <c r="G922" s="11" t="s">
        <v>73</v>
      </c>
      <c r="I922" t="s">
        <v>1919</v>
      </c>
      <c r="K922" t="s">
        <v>57</v>
      </c>
      <c r="L922" t="s">
        <v>338</v>
      </c>
      <c r="M922" t="s">
        <v>339</v>
      </c>
      <c r="N922" t="s">
        <v>2410</v>
      </c>
      <c r="O922" t="s">
        <v>2459</v>
      </c>
      <c r="Q922" t="e">
        <f t="shared" si="28"/>
        <v>#N/A</v>
      </c>
      <c r="R922">
        <f t="shared" si="29"/>
        <v>1</v>
      </c>
    </row>
    <row r="923" spans="1:18" x14ac:dyDescent="0.35">
      <c r="A923" s="11" t="s">
        <v>82</v>
      </c>
      <c r="B923" s="11" t="s">
        <v>1920</v>
      </c>
      <c r="C923" s="11" t="s">
        <v>1921</v>
      </c>
      <c r="D923" s="11" t="s">
        <v>345</v>
      </c>
      <c r="E923" s="11" t="s">
        <v>346</v>
      </c>
      <c r="F923" s="11" t="s">
        <v>347</v>
      </c>
      <c r="G923" s="11" t="s">
        <v>348</v>
      </c>
      <c r="I923" t="s">
        <v>1921</v>
      </c>
      <c r="K923" t="s">
        <v>348</v>
      </c>
      <c r="L923" t="s">
        <v>345</v>
      </c>
      <c r="M923" t="s">
        <v>346</v>
      </c>
      <c r="N923" t="s">
        <v>2459</v>
      </c>
      <c r="O923" t="s">
        <v>2459</v>
      </c>
      <c r="Q923">
        <f t="shared" si="28"/>
        <v>1</v>
      </c>
      <c r="R923">
        <f t="shared" si="29"/>
        <v>1</v>
      </c>
    </row>
    <row r="924" spans="1:18" x14ac:dyDescent="0.35">
      <c r="A924" s="11" t="s">
        <v>82</v>
      </c>
      <c r="B924" s="11" t="s">
        <v>1922</v>
      </c>
      <c r="C924" s="11" t="s">
        <v>623</v>
      </c>
      <c r="D924" s="11" t="s">
        <v>345</v>
      </c>
      <c r="E924" s="11" t="s">
        <v>346</v>
      </c>
      <c r="F924" s="11" t="s">
        <v>347</v>
      </c>
      <c r="G924" s="11" t="s">
        <v>348</v>
      </c>
      <c r="I924" t="s">
        <v>623</v>
      </c>
      <c r="K924" t="s">
        <v>348</v>
      </c>
      <c r="L924" t="s">
        <v>345</v>
      </c>
      <c r="M924" t="s">
        <v>346</v>
      </c>
      <c r="N924" t="s">
        <v>2459</v>
      </c>
      <c r="O924" t="s">
        <v>2459</v>
      </c>
      <c r="Q924">
        <f t="shared" si="28"/>
        <v>1</v>
      </c>
      <c r="R924">
        <f t="shared" si="29"/>
        <v>1</v>
      </c>
    </row>
    <row r="925" spans="1:18" x14ac:dyDescent="0.35">
      <c r="A925" s="11" t="s">
        <v>82</v>
      </c>
      <c r="B925" s="11" t="s">
        <v>1923</v>
      </c>
      <c r="C925" s="11" t="s">
        <v>1924</v>
      </c>
      <c r="D925" s="11" t="s">
        <v>345</v>
      </c>
      <c r="E925" s="11" t="s">
        <v>346</v>
      </c>
      <c r="F925" s="11" t="s">
        <v>347</v>
      </c>
      <c r="G925" s="11" t="s">
        <v>348</v>
      </c>
      <c r="I925" t="s">
        <v>1924</v>
      </c>
      <c r="K925" t="s">
        <v>348</v>
      </c>
      <c r="L925" t="s">
        <v>345</v>
      </c>
      <c r="M925" t="s">
        <v>346</v>
      </c>
      <c r="N925" t="s">
        <v>2459</v>
      </c>
      <c r="O925" t="s">
        <v>2459</v>
      </c>
      <c r="Q925">
        <f t="shared" si="28"/>
        <v>1</v>
      </c>
      <c r="R925">
        <f t="shared" si="29"/>
        <v>1</v>
      </c>
    </row>
    <row r="926" spans="1:18" x14ac:dyDescent="0.35">
      <c r="A926" s="11" t="s">
        <v>82</v>
      </c>
      <c r="B926" s="11" t="s">
        <v>1925</v>
      </c>
      <c r="C926" s="11" t="s">
        <v>1926</v>
      </c>
      <c r="D926" s="11" t="s">
        <v>345</v>
      </c>
      <c r="E926" s="11" t="s">
        <v>346</v>
      </c>
      <c r="F926" s="11" t="s">
        <v>347</v>
      </c>
      <c r="G926" s="11" t="s">
        <v>348</v>
      </c>
      <c r="I926" t="s">
        <v>1926</v>
      </c>
      <c r="K926" t="s">
        <v>348</v>
      </c>
      <c r="L926" t="s">
        <v>345</v>
      </c>
      <c r="M926" t="s">
        <v>346</v>
      </c>
      <c r="N926" t="s">
        <v>2459</v>
      </c>
      <c r="O926" t="s">
        <v>2459</v>
      </c>
      <c r="Q926">
        <f t="shared" si="28"/>
        <v>1</v>
      </c>
      <c r="R926">
        <f t="shared" si="29"/>
        <v>1</v>
      </c>
    </row>
    <row r="927" spans="1:18" x14ac:dyDescent="0.35">
      <c r="A927" s="11" t="s">
        <v>82</v>
      </c>
      <c r="B927" s="11" t="s">
        <v>1927</v>
      </c>
      <c r="C927" s="11" t="s">
        <v>58</v>
      </c>
      <c r="D927" s="11" t="s">
        <v>345</v>
      </c>
      <c r="E927" s="11" t="s">
        <v>346</v>
      </c>
      <c r="F927" s="11" t="s">
        <v>347</v>
      </c>
      <c r="G927" s="11" t="s">
        <v>348</v>
      </c>
      <c r="I927" t="s">
        <v>58</v>
      </c>
      <c r="K927" t="s">
        <v>58</v>
      </c>
      <c r="L927" t="s">
        <v>345</v>
      </c>
      <c r="M927" t="s">
        <v>346</v>
      </c>
      <c r="N927" t="s">
        <v>2410</v>
      </c>
      <c r="O927" t="s">
        <v>2459</v>
      </c>
      <c r="Q927" t="e">
        <f t="shared" si="28"/>
        <v>#N/A</v>
      </c>
      <c r="R927">
        <f t="shared" si="29"/>
        <v>1</v>
      </c>
    </row>
    <row r="928" spans="1:18" x14ac:dyDescent="0.35">
      <c r="A928" s="11" t="s">
        <v>82</v>
      </c>
      <c r="B928" s="11" t="s">
        <v>1928</v>
      </c>
      <c r="C928" s="11" t="s">
        <v>1929</v>
      </c>
      <c r="D928" s="11" t="s">
        <v>345</v>
      </c>
      <c r="E928" s="11" t="s">
        <v>346</v>
      </c>
      <c r="F928" s="11" t="s">
        <v>347</v>
      </c>
      <c r="G928" s="11" t="s">
        <v>348</v>
      </c>
      <c r="I928" t="s">
        <v>1929</v>
      </c>
      <c r="K928" t="s">
        <v>348</v>
      </c>
      <c r="L928" t="s">
        <v>345</v>
      </c>
      <c r="M928" t="s">
        <v>346</v>
      </c>
      <c r="N928" t="s">
        <v>2459</v>
      </c>
      <c r="O928" t="s">
        <v>2459</v>
      </c>
      <c r="Q928">
        <f t="shared" si="28"/>
        <v>1</v>
      </c>
      <c r="R928">
        <f t="shared" si="29"/>
        <v>1</v>
      </c>
    </row>
    <row r="929" spans="1:18" x14ac:dyDescent="0.35">
      <c r="A929" s="11" t="s">
        <v>82</v>
      </c>
      <c r="B929" s="11" t="s">
        <v>1930</v>
      </c>
      <c r="C929" s="11" t="s">
        <v>1931</v>
      </c>
      <c r="D929" s="11" t="s">
        <v>345</v>
      </c>
      <c r="E929" s="11" t="s">
        <v>346</v>
      </c>
      <c r="F929" s="11" t="s">
        <v>347</v>
      </c>
      <c r="G929" s="11" t="s">
        <v>348</v>
      </c>
      <c r="I929" t="s">
        <v>1931</v>
      </c>
      <c r="K929" t="s">
        <v>58</v>
      </c>
      <c r="L929" t="s">
        <v>345</v>
      </c>
      <c r="M929" t="s">
        <v>346</v>
      </c>
      <c r="N929" t="s">
        <v>2410</v>
      </c>
      <c r="O929" t="s">
        <v>2459</v>
      </c>
      <c r="Q929" t="e">
        <f t="shared" si="28"/>
        <v>#N/A</v>
      </c>
      <c r="R929">
        <f t="shared" si="29"/>
        <v>1</v>
      </c>
    </row>
    <row r="930" spans="1:18" x14ac:dyDescent="0.35">
      <c r="A930" s="11" t="s">
        <v>82</v>
      </c>
      <c r="B930" s="11" t="s">
        <v>1932</v>
      </c>
      <c r="C930" s="11" t="s">
        <v>1933</v>
      </c>
      <c r="D930" s="11" t="s">
        <v>345</v>
      </c>
      <c r="E930" s="11" t="s">
        <v>346</v>
      </c>
      <c r="F930" s="11" t="s">
        <v>347</v>
      </c>
      <c r="G930" s="11" t="s">
        <v>348</v>
      </c>
      <c r="I930" t="s">
        <v>1933</v>
      </c>
      <c r="K930" t="s">
        <v>348</v>
      </c>
      <c r="L930" t="s">
        <v>345</v>
      </c>
      <c r="M930" t="s">
        <v>346</v>
      </c>
      <c r="N930" t="s">
        <v>2459</v>
      </c>
      <c r="O930" t="s">
        <v>2459</v>
      </c>
      <c r="Q930">
        <f t="shared" si="28"/>
        <v>1</v>
      </c>
      <c r="R930">
        <f t="shared" si="29"/>
        <v>1</v>
      </c>
    </row>
    <row r="931" spans="1:18" x14ac:dyDescent="0.35">
      <c r="A931" s="11" t="s">
        <v>82</v>
      </c>
      <c r="B931" s="11" t="s">
        <v>1934</v>
      </c>
      <c r="C931" s="11" t="s">
        <v>1935</v>
      </c>
      <c r="D931" s="11" t="s">
        <v>345</v>
      </c>
      <c r="E931" s="11" t="s">
        <v>346</v>
      </c>
      <c r="F931" s="11" t="s">
        <v>347</v>
      </c>
      <c r="G931" s="11" t="s">
        <v>348</v>
      </c>
      <c r="I931" t="s">
        <v>1935</v>
      </c>
      <c r="K931" t="s">
        <v>348</v>
      </c>
      <c r="L931" t="s">
        <v>345</v>
      </c>
      <c r="M931" t="s">
        <v>346</v>
      </c>
      <c r="N931" t="s">
        <v>2459</v>
      </c>
      <c r="O931" t="s">
        <v>2459</v>
      </c>
      <c r="Q931">
        <f t="shared" si="28"/>
        <v>1</v>
      </c>
      <c r="R931">
        <f t="shared" si="29"/>
        <v>1</v>
      </c>
    </row>
    <row r="932" spans="1:18" x14ac:dyDescent="0.35">
      <c r="A932" s="11" t="s">
        <v>82</v>
      </c>
      <c r="B932" s="11" t="s">
        <v>1936</v>
      </c>
      <c r="C932" s="11" t="s">
        <v>351</v>
      </c>
      <c r="D932" s="11" t="s">
        <v>345</v>
      </c>
      <c r="E932" s="11" t="s">
        <v>346</v>
      </c>
      <c r="F932" s="11" t="s">
        <v>350</v>
      </c>
      <c r="G932" s="11" t="s">
        <v>351</v>
      </c>
      <c r="I932" t="s">
        <v>351</v>
      </c>
      <c r="K932" t="s">
        <v>351</v>
      </c>
      <c r="L932" t="s">
        <v>345</v>
      </c>
      <c r="M932" t="s">
        <v>346</v>
      </c>
      <c r="N932" t="s">
        <v>2459</v>
      </c>
      <c r="O932" t="s">
        <v>2459</v>
      </c>
      <c r="Q932">
        <f t="shared" si="28"/>
        <v>1</v>
      </c>
      <c r="R932">
        <f t="shared" si="29"/>
        <v>1</v>
      </c>
    </row>
    <row r="933" spans="1:18" x14ac:dyDescent="0.35">
      <c r="A933" s="11"/>
      <c r="B933" s="11"/>
      <c r="C933" s="11"/>
      <c r="D933" s="11"/>
      <c r="E933" s="11"/>
      <c r="F933" s="11"/>
      <c r="G933" s="11"/>
      <c r="I933" t="s">
        <v>2216</v>
      </c>
      <c r="K933" t="s">
        <v>351</v>
      </c>
      <c r="L933" t="s">
        <v>345</v>
      </c>
      <c r="M933" t="s">
        <v>346</v>
      </c>
      <c r="P933" t="s">
        <v>2303</v>
      </c>
      <c r="Q933" t="e">
        <f t="shared" si="28"/>
        <v>#N/A</v>
      </c>
      <c r="R933" t="e">
        <f t="shared" si="29"/>
        <v>#N/A</v>
      </c>
    </row>
    <row r="934" spans="1:18" x14ac:dyDescent="0.35">
      <c r="A934" s="11"/>
      <c r="B934" s="11"/>
      <c r="C934" s="11"/>
      <c r="D934" s="11"/>
      <c r="E934" s="11"/>
      <c r="F934" s="11"/>
      <c r="G934" s="11"/>
      <c r="I934" t="s">
        <v>2217</v>
      </c>
      <c r="K934" t="s">
        <v>351</v>
      </c>
      <c r="L934" t="s">
        <v>345</v>
      </c>
      <c r="M934" t="s">
        <v>346</v>
      </c>
      <c r="P934" t="s">
        <v>2303</v>
      </c>
      <c r="Q934" t="e">
        <f t="shared" si="28"/>
        <v>#N/A</v>
      </c>
      <c r="R934" t="e">
        <f t="shared" si="29"/>
        <v>#N/A</v>
      </c>
    </row>
    <row r="935" spans="1:18" x14ac:dyDescent="0.35">
      <c r="A935" s="11"/>
      <c r="B935" s="11"/>
      <c r="C935" s="11"/>
      <c r="D935" s="11"/>
      <c r="E935" s="11"/>
      <c r="F935" s="11"/>
      <c r="G935" s="11"/>
      <c r="I935" t="s">
        <v>2218</v>
      </c>
      <c r="K935" t="s">
        <v>351</v>
      </c>
      <c r="L935" t="s">
        <v>345</v>
      </c>
      <c r="M935" t="s">
        <v>346</v>
      </c>
      <c r="P935" t="s">
        <v>2303</v>
      </c>
      <c r="Q935" t="e">
        <f t="shared" si="28"/>
        <v>#N/A</v>
      </c>
      <c r="R935" t="e">
        <f t="shared" si="29"/>
        <v>#N/A</v>
      </c>
    </row>
    <row r="936" spans="1:18" x14ac:dyDescent="0.35">
      <c r="A936" s="11"/>
      <c r="B936" s="11"/>
      <c r="C936" s="11"/>
      <c r="D936" s="11"/>
      <c r="E936" s="11"/>
      <c r="F936" s="11"/>
      <c r="G936" s="11"/>
      <c r="I936" t="s">
        <v>2219</v>
      </c>
      <c r="K936" t="s">
        <v>351</v>
      </c>
      <c r="L936" t="s">
        <v>345</v>
      </c>
      <c r="M936" t="s">
        <v>346</v>
      </c>
      <c r="P936" t="s">
        <v>2303</v>
      </c>
      <c r="Q936" t="e">
        <f t="shared" si="28"/>
        <v>#N/A</v>
      </c>
      <c r="R936" t="e">
        <f t="shared" si="29"/>
        <v>#N/A</v>
      </c>
    </row>
    <row r="937" spans="1:18" x14ac:dyDescent="0.35">
      <c r="A937" s="11"/>
      <c r="B937" s="11"/>
      <c r="C937" s="11"/>
      <c r="D937" s="11"/>
      <c r="E937" s="11"/>
      <c r="F937" s="11"/>
      <c r="G937" s="11"/>
      <c r="I937" t="s">
        <v>2224</v>
      </c>
      <c r="K937" t="s">
        <v>58</v>
      </c>
      <c r="L937" t="s">
        <v>345</v>
      </c>
      <c r="M937" t="s">
        <v>346</v>
      </c>
      <c r="N937" t="s">
        <v>2410</v>
      </c>
      <c r="O937" t="s">
        <v>2459</v>
      </c>
      <c r="P937" t="s">
        <v>2303</v>
      </c>
      <c r="Q937" t="e">
        <f t="shared" si="28"/>
        <v>#N/A</v>
      </c>
      <c r="R937" t="e">
        <f t="shared" si="29"/>
        <v>#N/A</v>
      </c>
    </row>
    <row r="938" spans="1:18" x14ac:dyDescent="0.35">
      <c r="A938" s="11"/>
      <c r="B938" s="11"/>
      <c r="C938" s="11"/>
      <c r="D938" s="11"/>
      <c r="E938" s="11"/>
      <c r="F938" s="11"/>
      <c r="G938" s="11"/>
      <c r="I938" t="s">
        <v>2225</v>
      </c>
      <c r="K938" t="s">
        <v>58</v>
      </c>
      <c r="L938" t="s">
        <v>345</v>
      </c>
      <c r="M938" t="s">
        <v>346</v>
      </c>
      <c r="N938" t="s">
        <v>2410</v>
      </c>
      <c r="O938" t="s">
        <v>2459</v>
      </c>
      <c r="P938" t="s">
        <v>2303</v>
      </c>
      <c r="Q938" t="e">
        <f t="shared" si="28"/>
        <v>#N/A</v>
      </c>
      <c r="R938" t="e">
        <f t="shared" si="29"/>
        <v>#N/A</v>
      </c>
    </row>
    <row r="939" spans="1:18" x14ac:dyDescent="0.35">
      <c r="A939" s="11"/>
      <c r="B939" s="11"/>
      <c r="C939" s="11"/>
      <c r="D939" s="11"/>
      <c r="E939" s="11"/>
      <c r="F939" s="11"/>
      <c r="G939" s="11"/>
      <c r="I939" t="s">
        <v>2226</v>
      </c>
      <c r="K939" t="s">
        <v>58</v>
      </c>
      <c r="L939" t="s">
        <v>345</v>
      </c>
      <c r="M939" t="s">
        <v>346</v>
      </c>
      <c r="N939" t="s">
        <v>2410</v>
      </c>
      <c r="O939" t="s">
        <v>2459</v>
      </c>
      <c r="P939" t="s">
        <v>2303</v>
      </c>
      <c r="Q939" t="e">
        <f t="shared" si="28"/>
        <v>#N/A</v>
      </c>
      <c r="R939" t="e">
        <f t="shared" si="29"/>
        <v>#N/A</v>
      </c>
    </row>
    <row r="940" spans="1:18" x14ac:dyDescent="0.35">
      <c r="A940" s="11" t="s">
        <v>82</v>
      </c>
      <c r="B940" s="11" t="s">
        <v>1937</v>
      </c>
      <c r="C940" s="11" t="s">
        <v>1938</v>
      </c>
      <c r="D940" s="11" t="s">
        <v>345</v>
      </c>
      <c r="E940" s="11" t="s">
        <v>346</v>
      </c>
      <c r="F940" s="11" t="s">
        <v>350</v>
      </c>
      <c r="G940" s="11" t="s">
        <v>351</v>
      </c>
      <c r="I940" t="s">
        <v>1938</v>
      </c>
      <c r="K940" t="s">
        <v>351</v>
      </c>
      <c r="L940" t="s">
        <v>345</v>
      </c>
      <c r="M940" t="s">
        <v>346</v>
      </c>
      <c r="N940" t="s">
        <v>2459</v>
      </c>
      <c r="O940" t="s">
        <v>2459</v>
      </c>
      <c r="Q940">
        <f t="shared" si="28"/>
        <v>1</v>
      </c>
      <c r="R940">
        <f t="shared" si="29"/>
        <v>1</v>
      </c>
    </row>
    <row r="941" spans="1:18" x14ac:dyDescent="0.35">
      <c r="A941" s="11"/>
      <c r="B941" s="11"/>
      <c r="C941" s="11"/>
      <c r="D941" s="11"/>
      <c r="E941" s="11"/>
      <c r="F941" s="11"/>
      <c r="G941" s="11"/>
      <c r="I941" t="s">
        <v>2212</v>
      </c>
      <c r="K941" t="s">
        <v>348</v>
      </c>
      <c r="L941" t="s">
        <v>345</v>
      </c>
      <c r="M941" t="s">
        <v>346</v>
      </c>
      <c r="N941" t="s">
        <v>2410</v>
      </c>
      <c r="O941" t="s">
        <v>2459</v>
      </c>
      <c r="P941" t="s">
        <v>2304</v>
      </c>
      <c r="Q941" t="e">
        <f t="shared" si="28"/>
        <v>#N/A</v>
      </c>
      <c r="R941" t="e">
        <f t="shared" si="29"/>
        <v>#N/A</v>
      </c>
    </row>
    <row r="942" spans="1:18" x14ac:dyDescent="0.35">
      <c r="A942" s="11"/>
      <c r="B942" s="11"/>
      <c r="C942" s="11"/>
      <c r="D942" s="11"/>
      <c r="E942" s="11"/>
      <c r="F942" s="11"/>
      <c r="G942" s="11"/>
      <c r="I942" t="s">
        <v>2213</v>
      </c>
      <c r="K942" t="s">
        <v>351</v>
      </c>
      <c r="L942" t="s">
        <v>345</v>
      </c>
      <c r="M942" t="s">
        <v>346</v>
      </c>
      <c r="P942" t="s">
        <v>2304</v>
      </c>
      <c r="Q942" t="e">
        <f t="shared" si="28"/>
        <v>#N/A</v>
      </c>
      <c r="R942" t="e">
        <f t="shared" si="29"/>
        <v>#N/A</v>
      </c>
    </row>
    <row r="943" spans="1:18" x14ac:dyDescent="0.35">
      <c r="A943" s="11"/>
      <c r="B943" s="11"/>
      <c r="C943" s="11"/>
      <c r="D943" s="11"/>
      <c r="E943" s="11"/>
      <c r="F943" s="11"/>
      <c r="G943" s="11"/>
      <c r="I943" t="s">
        <v>2214</v>
      </c>
      <c r="K943" t="s">
        <v>351</v>
      </c>
      <c r="L943" t="s">
        <v>345</v>
      </c>
      <c r="M943" t="s">
        <v>346</v>
      </c>
      <c r="P943" t="s">
        <v>2304</v>
      </c>
      <c r="Q943" t="e">
        <f t="shared" si="28"/>
        <v>#N/A</v>
      </c>
      <c r="R943" t="e">
        <f t="shared" si="29"/>
        <v>#N/A</v>
      </c>
    </row>
    <row r="944" spans="1:18" x14ac:dyDescent="0.35">
      <c r="A944" s="11"/>
      <c r="B944" s="11"/>
      <c r="C944" s="11"/>
      <c r="D944" s="11"/>
      <c r="E944" s="11"/>
      <c r="F944" s="11"/>
      <c r="G944" s="11"/>
      <c r="I944" t="s">
        <v>2215</v>
      </c>
      <c r="K944" t="s">
        <v>348</v>
      </c>
      <c r="L944" t="s">
        <v>345</v>
      </c>
      <c r="M944" t="s">
        <v>346</v>
      </c>
      <c r="N944" t="s">
        <v>2410</v>
      </c>
      <c r="O944" t="s">
        <v>2459</v>
      </c>
      <c r="P944" t="s">
        <v>2304</v>
      </c>
      <c r="Q944" t="e">
        <f t="shared" si="28"/>
        <v>#N/A</v>
      </c>
      <c r="R944" t="e">
        <f t="shared" si="29"/>
        <v>#N/A</v>
      </c>
    </row>
    <row r="945" spans="1:18" x14ac:dyDescent="0.35">
      <c r="A945" s="11" t="s">
        <v>82</v>
      </c>
      <c r="B945" s="11" t="s">
        <v>1939</v>
      </c>
      <c r="C945" s="11" t="s">
        <v>1940</v>
      </c>
      <c r="D945" s="11" t="s">
        <v>345</v>
      </c>
      <c r="E945" s="11" t="s">
        <v>346</v>
      </c>
      <c r="F945" s="11" t="s">
        <v>353</v>
      </c>
      <c r="G945" s="11" t="s">
        <v>77</v>
      </c>
      <c r="I945" t="s">
        <v>1940</v>
      </c>
      <c r="K945" t="s">
        <v>58</v>
      </c>
      <c r="L945" t="s">
        <v>345</v>
      </c>
      <c r="M945" t="s">
        <v>346</v>
      </c>
      <c r="N945" t="s">
        <v>2410</v>
      </c>
      <c r="O945" t="s">
        <v>2459</v>
      </c>
      <c r="Q945" t="e">
        <f t="shared" si="28"/>
        <v>#N/A</v>
      </c>
      <c r="R945">
        <f t="shared" si="29"/>
        <v>1</v>
      </c>
    </row>
    <row r="946" spans="1:18" x14ac:dyDescent="0.35">
      <c r="A946" s="11"/>
      <c r="B946" s="11"/>
      <c r="C946" s="11"/>
      <c r="D946" s="11"/>
      <c r="E946" s="11"/>
      <c r="F946" s="11"/>
      <c r="G946" s="11"/>
      <c r="I946" t="s">
        <v>2223</v>
      </c>
      <c r="K946" t="s">
        <v>78</v>
      </c>
      <c r="L946" t="s">
        <v>345</v>
      </c>
      <c r="M946" t="s">
        <v>346</v>
      </c>
      <c r="N946" t="s">
        <v>2410</v>
      </c>
      <c r="O946" t="s">
        <v>2459</v>
      </c>
      <c r="P946" t="s">
        <v>2305</v>
      </c>
      <c r="Q946" t="e">
        <f t="shared" si="28"/>
        <v>#N/A</v>
      </c>
      <c r="R946" t="e">
        <f t="shared" si="29"/>
        <v>#N/A</v>
      </c>
    </row>
    <row r="947" spans="1:18" x14ac:dyDescent="0.35">
      <c r="A947" s="11"/>
      <c r="B947" s="11"/>
      <c r="C947" s="11"/>
      <c r="D947" s="11"/>
      <c r="E947" s="11"/>
      <c r="F947" s="11"/>
      <c r="G947" s="11"/>
      <c r="I947" t="s">
        <v>2227</v>
      </c>
      <c r="K947" t="s">
        <v>58</v>
      </c>
      <c r="L947" t="s">
        <v>345</v>
      </c>
      <c r="M947" t="s">
        <v>346</v>
      </c>
      <c r="N947" t="s">
        <v>2410</v>
      </c>
      <c r="O947" t="s">
        <v>2459</v>
      </c>
      <c r="P947" t="s">
        <v>2305</v>
      </c>
      <c r="Q947" t="e">
        <f t="shared" si="28"/>
        <v>#N/A</v>
      </c>
      <c r="R947" t="e">
        <f t="shared" si="29"/>
        <v>#N/A</v>
      </c>
    </row>
    <row r="948" spans="1:18" x14ac:dyDescent="0.35">
      <c r="A948" s="11"/>
      <c r="B948" s="11"/>
      <c r="C948" s="11"/>
      <c r="D948" s="11"/>
      <c r="E948" s="11"/>
      <c r="F948" s="11"/>
      <c r="G948" s="11"/>
      <c r="I948" t="s">
        <v>2228</v>
      </c>
      <c r="K948" t="s">
        <v>58</v>
      </c>
      <c r="L948" t="s">
        <v>345</v>
      </c>
      <c r="M948" t="s">
        <v>346</v>
      </c>
      <c r="N948" t="s">
        <v>2410</v>
      </c>
      <c r="O948" t="s">
        <v>2459</v>
      </c>
      <c r="P948" t="s">
        <v>2305</v>
      </c>
      <c r="Q948" t="e">
        <f t="shared" si="28"/>
        <v>#N/A</v>
      </c>
      <c r="R948" t="e">
        <f t="shared" si="29"/>
        <v>#N/A</v>
      </c>
    </row>
    <row r="949" spans="1:18" x14ac:dyDescent="0.35">
      <c r="A949" s="11"/>
      <c r="B949" s="11"/>
      <c r="C949" s="11"/>
      <c r="D949" s="11"/>
      <c r="E949" s="11"/>
      <c r="F949" s="11"/>
      <c r="G949" s="11"/>
      <c r="I949" t="s">
        <v>2229</v>
      </c>
      <c r="K949" t="s">
        <v>58</v>
      </c>
      <c r="L949" t="s">
        <v>345</v>
      </c>
      <c r="M949" t="s">
        <v>346</v>
      </c>
      <c r="N949" t="s">
        <v>2410</v>
      </c>
      <c r="O949" t="s">
        <v>2459</v>
      </c>
      <c r="P949" t="s">
        <v>2305</v>
      </c>
      <c r="Q949" t="e">
        <f t="shared" si="28"/>
        <v>#N/A</v>
      </c>
      <c r="R949" t="e">
        <f t="shared" si="29"/>
        <v>#N/A</v>
      </c>
    </row>
    <row r="950" spans="1:18" x14ac:dyDescent="0.35">
      <c r="A950" s="11"/>
      <c r="B950" s="11"/>
      <c r="C950" s="11"/>
      <c r="D950" s="11"/>
      <c r="E950" s="11"/>
      <c r="F950" s="11"/>
      <c r="G950" s="11"/>
      <c r="I950" t="s">
        <v>2230</v>
      </c>
      <c r="K950" t="s">
        <v>58</v>
      </c>
      <c r="L950" t="s">
        <v>345</v>
      </c>
      <c r="M950" t="s">
        <v>346</v>
      </c>
      <c r="N950" t="s">
        <v>2410</v>
      </c>
      <c r="O950" t="s">
        <v>2459</v>
      </c>
      <c r="P950" t="s">
        <v>2305</v>
      </c>
      <c r="Q950" t="e">
        <f t="shared" si="28"/>
        <v>#N/A</v>
      </c>
      <c r="R950" t="e">
        <f t="shared" si="29"/>
        <v>#N/A</v>
      </c>
    </row>
    <row r="951" spans="1:18" x14ac:dyDescent="0.35">
      <c r="A951" s="11"/>
      <c r="B951" s="11"/>
      <c r="C951" s="11"/>
      <c r="D951" s="11"/>
      <c r="E951" s="11"/>
      <c r="F951" s="11"/>
      <c r="G951" s="11"/>
      <c r="I951" t="s">
        <v>2231</v>
      </c>
      <c r="K951" t="s">
        <v>58</v>
      </c>
      <c r="L951" t="s">
        <v>345</v>
      </c>
      <c r="M951" t="s">
        <v>346</v>
      </c>
      <c r="N951" t="s">
        <v>2410</v>
      </c>
      <c r="O951" t="s">
        <v>2459</v>
      </c>
      <c r="P951" t="s">
        <v>2305</v>
      </c>
      <c r="Q951" t="e">
        <f t="shared" si="28"/>
        <v>#N/A</v>
      </c>
      <c r="R951" t="e">
        <f t="shared" si="29"/>
        <v>#N/A</v>
      </c>
    </row>
    <row r="952" spans="1:18" x14ac:dyDescent="0.35">
      <c r="A952" s="11"/>
      <c r="B952" s="11"/>
      <c r="C952" s="11"/>
      <c r="D952" s="11"/>
      <c r="E952" s="11"/>
      <c r="F952" s="11"/>
      <c r="G952" s="11"/>
      <c r="I952" t="s">
        <v>2232</v>
      </c>
      <c r="K952" t="s">
        <v>58</v>
      </c>
      <c r="L952" t="s">
        <v>345</v>
      </c>
      <c r="M952" t="s">
        <v>346</v>
      </c>
      <c r="N952" t="s">
        <v>2410</v>
      </c>
      <c r="O952" t="s">
        <v>2459</v>
      </c>
      <c r="P952" t="s">
        <v>2305</v>
      </c>
      <c r="Q952" t="e">
        <f t="shared" si="28"/>
        <v>#N/A</v>
      </c>
      <c r="R952" t="e">
        <f t="shared" si="29"/>
        <v>#N/A</v>
      </c>
    </row>
    <row r="953" spans="1:18" x14ac:dyDescent="0.35">
      <c r="A953" s="11"/>
      <c r="B953" s="11"/>
      <c r="C953" s="11"/>
      <c r="D953" s="11"/>
      <c r="E953" s="11"/>
      <c r="F953" s="11"/>
      <c r="G953" s="11"/>
      <c r="I953" t="s">
        <v>2233</v>
      </c>
      <c r="K953" t="s">
        <v>59</v>
      </c>
      <c r="L953" t="s">
        <v>345</v>
      </c>
      <c r="M953" t="s">
        <v>346</v>
      </c>
      <c r="N953" t="s">
        <v>2410</v>
      </c>
      <c r="O953" t="s">
        <v>2459</v>
      </c>
      <c r="P953" t="s">
        <v>2305</v>
      </c>
      <c r="Q953" t="e">
        <f t="shared" si="28"/>
        <v>#N/A</v>
      </c>
      <c r="R953" t="e">
        <f t="shared" si="29"/>
        <v>#N/A</v>
      </c>
    </row>
    <row r="954" spans="1:18" x14ac:dyDescent="0.35">
      <c r="A954" s="11"/>
      <c r="B954" s="11"/>
      <c r="C954" s="11"/>
      <c r="D954" s="11"/>
      <c r="E954" s="11"/>
      <c r="F954" s="11"/>
      <c r="G954" s="11"/>
      <c r="I954" t="s">
        <v>2234</v>
      </c>
      <c r="K954" t="s">
        <v>59</v>
      </c>
      <c r="L954" t="s">
        <v>345</v>
      </c>
      <c r="M954" t="s">
        <v>346</v>
      </c>
      <c r="N954" t="s">
        <v>2410</v>
      </c>
      <c r="O954" t="s">
        <v>2459</v>
      </c>
      <c r="P954" t="s">
        <v>2305</v>
      </c>
      <c r="Q954" t="e">
        <f t="shared" si="28"/>
        <v>#N/A</v>
      </c>
      <c r="R954" t="e">
        <f t="shared" si="29"/>
        <v>#N/A</v>
      </c>
    </row>
    <row r="955" spans="1:18" x14ac:dyDescent="0.35">
      <c r="A955" s="11"/>
      <c r="B955" s="11"/>
      <c r="C955" s="11"/>
      <c r="D955" s="11"/>
      <c r="E955" s="11"/>
      <c r="F955" s="11"/>
      <c r="G955" s="11"/>
      <c r="I955" t="s">
        <v>2235</v>
      </c>
      <c r="K955" t="s">
        <v>59</v>
      </c>
      <c r="L955" t="s">
        <v>345</v>
      </c>
      <c r="M955" t="s">
        <v>346</v>
      </c>
      <c r="N955" t="s">
        <v>2410</v>
      </c>
      <c r="O955" t="s">
        <v>2459</v>
      </c>
      <c r="P955" t="s">
        <v>2305</v>
      </c>
      <c r="Q955" t="e">
        <f t="shared" si="28"/>
        <v>#N/A</v>
      </c>
      <c r="R955" t="e">
        <f t="shared" si="29"/>
        <v>#N/A</v>
      </c>
    </row>
    <row r="956" spans="1:18" x14ac:dyDescent="0.35">
      <c r="A956" s="11"/>
      <c r="B956" s="11"/>
      <c r="C956" s="11"/>
      <c r="D956" s="11"/>
      <c r="E956" s="11"/>
      <c r="F956" s="11"/>
      <c r="G956" s="11"/>
      <c r="I956" t="s">
        <v>2236</v>
      </c>
      <c r="K956" t="s">
        <v>59</v>
      </c>
      <c r="L956" t="s">
        <v>345</v>
      </c>
      <c r="M956" t="s">
        <v>346</v>
      </c>
      <c r="N956" t="s">
        <v>2410</v>
      </c>
      <c r="O956" t="s">
        <v>2459</v>
      </c>
      <c r="P956" t="s">
        <v>2305</v>
      </c>
      <c r="Q956" t="e">
        <f t="shared" si="28"/>
        <v>#N/A</v>
      </c>
      <c r="R956" t="e">
        <f t="shared" si="29"/>
        <v>#N/A</v>
      </c>
    </row>
    <row r="957" spans="1:18" x14ac:dyDescent="0.35">
      <c r="A957" s="11"/>
      <c r="B957" s="11"/>
      <c r="C957" s="11"/>
      <c r="D957" s="11"/>
      <c r="E957" s="11"/>
      <c r="F957" s="11"/>
      <c r="G957" s="11"/>
      <c r="I957" t="s">
        <v>2237</v>
      </c>
      <c r="K957" t="s">
        <v>59</v>
      </c>
      <c r="L957" t="s">
        <v>345</v>
      </c>
      <c r="M957" t="s">
        <v>346</v>
      </c>
      <c r="N957" t="s">
        <v>2410</v>
      </c>
      <c r="O957" t="s">
        <v>2459</v>
      </c>
      <c r="P957" t="s">
        <v>2305</v>
      </c>
      <c r="Q957" t="e">
        <f t="shared" si="28"/>
        <v>#N/A</v>
      </c>
      <c r="R957" t="e">
        <f t="shared" si="29"/>
        <v>#N/A</v>
      </c>
    </row>
    <row r="958" spans="1:18" x14ac:dyDescent="0.35">
      <c r="A958" s="11"/>
      <c r="B958" s="11"/>
      <c r="C958" s="11"/>
      <c r="D958" s="11"/>
      <c r="E958" s="11"/>
      <c r="F958" s="11"/>
      <c r="G958" s="11"/>
      <c r="I958" t="s">
        <v>2238</v>
      </c>
      <c r="K958" t="s">
        <v>59</v>
      </c>
      <c r="L958" t="s">
        <v>345</v>
      </c>
      <c r="M958" t="s">
        <v>346</v>
      </c>
      <c r="N958" t="s">
        <v>2410</v>
      </c>
      <c r="O958" t="s">
        <v>2459</v>
      </c>
      <c r="P958" t="s">
        <v>2305</v>
      </c>
      <c r="Q958" t="e">
        <f t="shared" si="28"/>
        <v>#N/A</v>
      </c>
      <c r="R958" t="e">
        <f t="shared" si="29"/>
        <v>#N/A</v>
      </c>
    </row>
    <row r="959" spans="1:18" x14ac:dyDescent="0.35">
      <c r="A959" s="11"/>
      <c r="B959" s="11"/>
      <c r="C959" s="11"/>
      <c r="D959" s="11"/>
      <c r="E959" s="11"/>
      <c r="F959" s="11"/>
      <c r="G959" s="11"/>
      <c r="I959" t="s">
        <v>2239</v>
      </c>
      <c r="K959" t="s">
        <v>59</v>
      </c>
      <c r="L959" t="s">
        <v>345</v>
      </c>
      <c r="M959" t="s">
        <v>346</v>
      </c>
      <c r="N959" t="s">
        <v>2410</v>
      </c>
      <c r="O959" t="s">
        <v>2459</v>
      </c>
      <c r="P959" t="s">
        <v>2305</v>
      </c>
      <c r="Q959" t="e">
        <f t="shared" si="28"/>
        <v>#N/A</v>
      </c>
      <c r="R959" t="e">
        <f t="shared" si="29"/>
        <v>#N/A</v>
      </c>
    </row>
    <row r="960" spans="1:18" x14ac:dyDescent="0.35">
      <c r="A960" s="11" t="s">
        <v>82</v>
      </c>
      <c r="B960" s="11" t="s">
        <v>1941</v>
      </c>
      <c r="C960" s="11" t="s">
        <v>1942</v>
      </c>
      <c r="D960" s="11" t="s">
        <v>345</v>
      </c>
      <c r="E960" s="11" t="s">
        <v>346</v>
      </c>
      <c r="F960" s="11" t="s">
        <v>353</v>
      </c>
      <c r="G960" s="11" t="s">
        <v>77</v>
      </c>
      <c r="I960" t="s">
        <v>1942</v>
      </c>
      <c r="K960" t="s">
        <v>78</v>
      </c>
      <c r="L960" t="s">
        <v>345</v>
      </c>
      <c r="M960" t="s">
        <v>346</v>
      </c>
      <c r="N960" t="s">
        <v>2459</v>
      </c>
      <c r="O960" t="s">
        <v>2459</v>
      </c>
      <c r="P960" t="s">
        <v>2262</v>
      </c>
      <c r="Q960" t="e">
        <f t="shared" si="28"/>
        <v>#N/A</v>
      </c>
      <c r="R960">
        <f t="shared" si="29"/>
        <v>1</v>
      </c>
    </row>
    <row r="961" spans="1:18" x14ac:dyDescent="0.35">
      <c r="A961" s="11"/>
      <c r="B961" s="11"/>
      <c r="C961" s="11"/>
      <c r="D961" s="11"/>
      <c r="E961" s="11"/>
      <c r="F961" s="11"/>
      <c r="G961" s="11"/>
      <c r="I961" t="s">
        <v>2210</v>
      </c>
      <c r="K961" t="s">
        <v>348</v>
      </c>
      <c r="L961" t="s">
        <v>345</v>
      </c>
      <c r="M961" t="s">
        <v>346</v>
      </c>
      <c r="N961" t="s">
        <v>2410</v>
      </c>
      <c r="O961" t="s">
        <v>2459</v>
      </c>
      <c r="P961" t="s">
        <v>2306</v>
      </c>
      <c r="Q961" t="e">
        <f t="shared" si="28"/>
        <v>#N/A</v>
      </c>
      <c r="R961" t="e">
        <f t="shared" si="29"/>
        <v>#N/A</v>
      </c>
    </row>
    <row r="962" spans="1:18" x14ac:dyDescent="0.35">
      <c r="A962" s="11"/>
      <c r="B962" s="11"/>
      <c r="C962" s="11"/>
      <c r="D962" s="11"/>
      <c r="E962" s="11"/>
      <c r="F962" s="11"/>
      <c r="G962" s="11"/>
      <c r="I962" t="s">
        <v>2211</v>
      </c>
      <c r="K962" t="s">
        <v>348</v>
      </c>
      <c r="L962" t="s">
        <v>345</v>
      </c>
      <c r="M962" t="s">
        <v>346</v>
      </c>
      <c r="N962" t="s">
        <v>2410</v>
      </c>
      <c r="O962" t="s">
        <v>2459</v>
      </c>
      <c r="P962" t="s">
        <v>2306</v>
      </c>
      <c r="Q962" t="e">
        <f t="shared" si="28"/>
        <v>#N/A</v>
      </c>
      <c r="R962" t="e">
        <f t="shared" si="29"/>
        <v>#N/A</v>
      </c>
    </row>
    <row r="963" spans="1:18" x14ac:dyDescent="0.35">
      <c r="A963" s="11"/>
      <c r="B963" s="11"/>
      <c r="C963" s="11"/>
      <c r="D963" s="11"/>
      <c r="E963" s="11"/>
      <c r="F963" s="11"/>
      <c r="G963" s="11"/>
      <c r="I963" t="s">
        <v>2221</v>
      </c>
      <c r="K963" t="s">
        <v>58</v>
      </c>
      <c r="L963" t="s">
        <v>345</v>
      </c>
      <c r="M963" t="s">
        <v>346</v>
      </c>
      <c r="N963" t="s">
        <v>2410</v>
      </c>
      <c r="O963" t="s">
        <v>2459</v>
      </c>
      <c r="P963" t="s">
        <v>2306</v>
      </c>
      <c r="Q963" t="e">
        <f t="shared" si="28"/>
        <v>#N/A</v>
      </c>
      <c r="R963" t="e">
        <f t="shared" si="29"/>
        <v>#N/A</v>
      </c>
    </row>
    <row r="964" spans="1:18" x14ac:dyDescent="0.35">
      <c r="A964" s="11"/>
      <c r="B964" s="11"/>
      <c r="C964" s="11"/>
      <c r="D964" s="11"/>
      <c r="E964" s="11"/>
      <c r="F964" s="11"/>
      <c r="G964" s="11"/>
      <c r="I964" t="s">
        <v>2222</v>
      </c>
      <c r="K964" t="s">
        <v>78</v>
      </c>
      <c r="L964" t="s">
        <v>345</v>
      </c>
      <c r="M964" t="s">
        <v>346</v>
      </c>
      <c r="P964" t="s">
        <v>2306</v>
      </c>
      <c r="Q964" t="e">
        <f t="shared" ref="Q964:Q1027" si="30">MATCH(G964,K964,0)</f>
        <v>#N/A</v>
      </c>
      <c r="R964" t="e">
        <f t="shared" ref="R964:R1027" si="31">MATCH(E964,M964,0)</f>
        <v>#N/A</v>
      </c>
    </row>
    <row r="965" spans="1:18" x14ac:dyDescent="0.35">
      <c r="A965" s="11" t="s">
        <v>82</v>
      </c>
      <c r="B965" s="11" t="s">
        <v>1943</v>
      </c>
      <c r="C965" s="11" t="s">
        <v>78</v>
      </c>
      <c r="D965" s="11" t="s">
        <v>345</v>
      </c>
      <c r="E965" s="11" t="s">
        <v>346</v>
      </c>
      <c r="F965" s="11" t="s">
        <v>353</v>
      </c>
      <c r="G965" s="11" t="s">
        <v>77</v>
      </c>
      <c r="I965" t="s">
        <v>78</v>
      </c>
      <c r="K965" t="s">
        <v>78</v>
      </c>
      <c r="L965" t="s">
        <v>345</v>
      </c>
      <c r="M965" t="s">
        <v>346</v>
      </c>
      <c r="N965" t="s">
        <v>2459</v>
      </c>
      <c r="O965" t="s">
        <v>2459</v>
      </c>
      <c r="P965" t="s">
        <v>2262</v>
      </c>
      <c r="Q965" t="e">
        <f t="shared" si="30"/>
        <v>#N/A</v>
      </c>
      <c r="R965">
        <f t="shared" si="31"/>
        <v>1</v>
      </c>
    </row>
    <row r="966" spans="1:18" x14ac:dyDescent="0.35">
      <c r="A966" s="11" t="s">
        <v>82</v>
      </c>
      <c r="B966" s="11" t="s">
        <v>1944</v>
      </c>
      <c r="C966" s="11" t="s">
        <v>1945</v>
      </c>
      <c r="D966" s="11" t="s">
        <v>355</v>
      </c>
      <c r="E966" s="11" t="s">
        <v>356</v>
      </c>
      <c r="F966" s="11" t="s">
        <v>357</v>
      </c>
      <c r="G966" s="11" t="s">
        <v>358</v>
      </c>
      <c r="I966" t="s">
        <v>1945</v>
      </c>
      <c r="K966" t="s">
        <v>358</v>
      </c>
      <c r="L966" t="s">
        <v>355</v>
      </c>
      <c r="M966" t="s">
        <v>356</v>
      </c>
      <c r="N966" t="s">
        <v>2459</v>
      </c>
      <c r="O966" t="s">
        <v>2459</v>
      </c>
      <c r="Q966">
        <f t="shared" si="30"/>
        <v>1</v>
      </c>
      <c r="R966">
        <f t="shared" si="31"/>
        <v>1</v>
      </c>
    </row>
    <row r="967" spans="1:18" x14ac:dyDescent="0.35">
      <c r="A967" s="11" t="s">
        <v>82</v>
      </c>
      <c r="B967" s="11" t="s">
        <v>1946</v>
      </c>
      <c r="C967" s="11" t="s">
        <v>1947</v>
      </c>
      <c r="D967" s="11" t="s">
        <v>355</v>
      </c>
      <c r="E967" s="11" t="s">
        <v>356</v>
      </c>
      <c r="F967" s="11" t="s">
        <v>357</v>
      </c>
      <c r="G967" s="11" t="s">
        <v>358</v>
      </c>
      <c r="I967" t="s">
        <v>1947</v>
      </c>
      <c r="K967" t="s">
        <v>358</v>
      </c>
      <c r="L967" t="s">
        <v>355</v>
      </c>
      <c r="M967" t="s">
        <v>356</v>
      </c>
      <c r="N967" t="s">
        <v>2459</v>
      </c>
      <c r="O967" t="s">
        <v>2459</v>
      </c>
      <c r="Q967">
        <f t="shared" si="30"/>
        <v>1</v>
      </c>
      <c r="R967">
        <f t="shared" si="31"/>
        <v>1</v>
      </c>
    </row>
    <row r="968" spans="1:18" x14ac:dyDescent="0.35">
      <c r="A968" s="11" t="s">
        <v>82</v>
      </c>
      <c r="B968" s="11" t="s">
        <v>1948</v>
      </c>
      <c r="C968" s="11" t="s">
        <v>358</v>
      </c>
      <c r="D968" s="11" t="s">
        <v>355</v>
      </c>
      <c r="E968" s="11" t="s">
        <v>356</v>
      </c>
      <c r="F968" s="11" t="s">
        <v>357</v>
      </c>
      <c r="G968" s="11" t="s">
        <v>358</v>
      </c>
      <c r="I968" t="s">
        <v>358</v>
      </c>
      <c r="K968" t="s">
        <v>358</v>
      </c>
      <c r="L968" t="s">
        <v>355</v>
      </c>
      <c r="M968" t="s">
        <v>356</v>
      </c>
      <c r="N968" t="s">
        <v>2459</v>
      </c>
      <c r="O968" t="s">
        <v>2459</v>
      </c>
      <c r="Q968">
        <f t="shared" si="30"/>
        <v>1</v>
      </c>
      <c r="R968">
        <f t="shared" si="31"/>
        <v>1</v>
      </c>
    </row>
    <row r="969" spans="1:18" x14ac:dyDescent="0.35">
      <c r="A969" s="11" t="s">
        <v>82</v>
      </c>
      <c r="B969" s="11" t="s">
        <v>1949</v>
      </c>
      <c r="C969" s="11" t="s">
        <v>1950</v>
      </c>
      <c r="D969" s="11" t="s">
        <v>355</v>
      </c>
      <c r="E969" s="11" t="s">
        <v>356</v>
      </c>
      <c r="F969" s="11" t="s">
        <v>357</v>
      </c>
      <c r="G969" s="11" t="s">
        <v>358</v>
      </c>
      <c r="I969" t="s">
        <v>1950</v>
      </c>
      <c r="K969" t="s">
        <v>358</v>
      </c>
      <c r="L969" t="s">
        <v>355</v>
      </c>
      <c r="M969" t="s">
        <v>356</v>
      </c>
      <c r="N969" t="s">
        <v>2459</v>
      </c>
      <c r="O969" t="s">
        <v>2459</v>
      </c>
      <c r="Q969">
        <f t="shared" si="30"/>
        <v>1</v>
      </c>
      <c r="R969">
        <f t="shared" si="31"/>
        <v>1</v>
      </c>
    </row>
    <row r="970" spans="1:18" x14ac:dyDescent="0.35">
      <c r="A970" s="11" t="s">
        <v>82</v>
      </c>
      <c r="B970" s="11" t="s">
        <v>1951</v>
      </c>
      <c r="C970" s="11" t="s">
        <v>1952</v>
      </c>
      <c r="D970" s="11" t="s">
        <v>355</v>
      </c>
      <c r="E970" s="11" t="s">
        <v>356</v>
      </c>
      <c r="F970" s="11" t="s">
        <v>357</v>
      </c>
      <c r="G970" s="11" t="s">
        <v>358</v>
      </c>
      <c r="I970" t="s">
        <v>1952</v>
      </c>
      <c r="K970" t="s">
        <v>358</v>
      </c>
      <c r="L970" t="s">
        <v>355</v>
      </c>
      <c r="M970" t="s">
        <v>356</v>
      </c>
      <c r="N970" t="s">
        <v>2459</v>
      </c>
      <c r="O970" t="s">
        <v>2459</v>
      </c>
      <c r="Q970">
        <f t="shared" si="30"/>
        <v>1</v>
      </c>
      <c r="R970">
        <f t="shared" si="31"/>
        <v>1</v>
      </c>
    </row>
    <row r="971" spans="1:18" x14ac:dyDescent="0.35">
      <c r="A971" s="11" t="s">
        <v>82</v>
      </c>
      <c r="B971" s="11" t="s">
        <v>1953</v>
      </c>
      <c r="C971" s="11" t="s">
        <v>1954</v>
      </c>
      <c r="D971" s="11" t="s">
        <v>355</v>
      </c>
      <c r="E971" s="11" t="s">
        <v>356</v>
      </c>
      <c r="F971" s="11" t="s">
        <v>357</v>
      </c>
      <c r="G971" s="11" t="s">
        <v>358</v>
      </c>
      <c r="I971" t="s">
        <v>1954</v>
      </c>
      <c r="K971" t="s">
        <v>358</v>
      </c>
      <c r="L971" t="s">
        <v>355</v>
      </c>
      <c r="M971" t="s">
        <v>356</v>
      </c>
      <c r="N971" t="s">
        <v>2459</v>
      </c>
      <c r="O971" t="s">
        <v>2459</v>
      </c>
      <c r="Q971">
        <f t="shared" si="30"/>
        <v>1</v>
      </c>
      <c r="R971">
        <f t="shared" si="31"/>
        <v>1</v>
      </c>
    </row>
    <row r="972" spans="1:18" x14ac:dyDescent="0.35">
      <c r="A972" s="11" t="s">
        <v>82</v>
      </c>
      <c r="B972" s="11" t="s">
        <v>1955</v>
      </c>
      <c r="C972" s="11" t="s">
        <v>1956</v>
      </c>
      <c r="D972" s="11" t="s">
        <v>355</v>
      </c>
      <c r="E972" s="11" t="s">
        <v>356</v>
      </c>
      <c r="F972" s="11" t="s">
        <v>357</v>
      </c>
      <c r="G972" s="11" t="s">
        <v>358</v>
      </c>
      <c r="I972" t="s">
        <v>1956</v>
      </c>
      <c r="K972" t="s">
        <v>60</v>
      </c>
      <c r="L972" t="s">
        <v>355</v>
      </c>
      <c r="M972" t="s">
        <v>356</v>
      </c>
      <c r="N972" t="s">
        <v>2410</v>
      </c>
      <c r="O972" t="s">
        <v>2459</v>
      </c>
      <c r="Q972" t="e">
        <f t="shared" si="30"/>
        <v>#N/A</v>
      </c>
      <c r="R972">
        <f t="shared" si="31"/>
        <v>1</v>
      </c>
    </row>
    <row r="973" spans="1:18" x14ac:dyDescent="0.35">
      <c r="A973" s="11" t="s">
        <v>82</v>
      </c>
      <c r="B973" s="11" t="s">
        <v>1957</v>
      </c>
      <c r="C973" s="11" t="s">
        <v>1958</v>
      </c>
      <c r="D973" s="11" t="s">
        <v>355</v>
      </c>
      <c r="E973" s="11" t="s">
        <v>356</v>
      </c>
      <c r="F973" s="11" t="s">
        <v>360</v>
      </c>
      <c r="G973" s="11" t="s">
        <v>361</v>
      </c>
      <c r="I973" t="s">
        <v>1958</v>
      </c>
      <c r="K973" t="s">
        <v>361</v>
      </c>
      <c r="L973" t="s">
        <v>355</v>
      </c>
      <c r="M973" t="s">
        <v>356</v>
      </c>
      <c r="N973" t="s">
        <v>2459</v>
      </c>
      <c r="O973" t="s">
        <v>2459</v>
      </c>
      <c r="Q973">
        <f t="shared" si="30"/>
        <v>1</v>
      </c>
      <c r="R973">
        <f t="shared" si="31"/>
        <v>1</v>
      </c>
    </row>
    <row r="974" spans="1:18" x14ac:dyDescent="0.35">
      <c r="A974" s="11" t="s">
        <v>82</v>
      </c>
      <c r="B974" s="11" t="s">
        <v>1959</v>
      </c>
      <c r="C974" s="11" t="s">
        <v>1960</v>
      </c>
      <c r="D974" s="11" t="s">
        <v>355</v>
      </c>
      <c r="E974" s="11" t="s">
        <v>356</v>
      </c>
      <c r="F974" s="11" t="s">
        <v>360</v>
      </c>
      <c r="G974" s="11" t="s">
        <v>361</v>
      </c>
      <c r="I974" t="s">
        <v>1960</v>
      </c>
      <c r="K974" t="s">
        <v>60</v>
      </c>
      <c r="L974" t="s">
        <v>355</v>
      </c>
      <c r="M974" t="s">
        <v>356</v>
      </c>
      <c r="N974" t="s">
        <v>2410</v>
      </c>
      <c r="O974" t="s">
        <v>2459</v>
      </c>
      <c r="Q974" t="e">
        <f t="shared" si="30"/>
        <v>#N/A</v>
      </c>
      <c r="R974">
        <f t="shared" si="31"/>
        <v>1</v>
      </c>
    </row>
    <row r="975" spans="1:18" x14ac:dyDescent="0.35">
      <c r="A975" s="11" t="s">
        <v>82</v>
      </c>
      <c r="B975" s="11" t="s">
        <v>1961</v>
      </c>
      <c r="C975" s="11" t="s">
        <v>1962</v>
      </c>
      <c r="D975" s="11" t="s">
        <v>355</v>
      </c>
      <c r="E975" s="11" t="s">
        <v>356</v>
      </c>
      <c r="F975" s="11" t="s">
        <v>360</v>
      </c>
      <c r="G975" s="11" t="s">
        <v>361</v>
      </c>
      <c r="I975" t="s">
        <v>1962</v>
      </c>
      <c r="K975" t="s">
        <v>361</v>
      </c>
      <c r="L975" t="s">
        <v>355</v>
      </c>
      <c r="M975" t="s">
        <v>356</v>
      </c>
      <c r="N975" t="s">
        <v>2459</v>
      </c>
      <c r="O975" t="s">
        <v>2459</v>
      </c>
      <c r="Q975">
        <f t="shared" si="30"/>
        <v>1</v>
      </c>
      <c r="R975">
        <f t="shared" si="31"/>
        <v>1</v>
      </c>
    </row>
    <row r="976" spans="1:18" x14ac:dyDescent="0.35">
      <c r="A976" s="11" t="s">
        <v>82</v>
      </c>
      <c r="B976" s="11" t="s">
        <v>1963</v>
      </c>
      <c r="C976" s="11" t="s">
        <v>1964</v>
      </c>
      <c r="D976" s="11" t="s">
        <v>355</v>
      </c>
      <c r="E976" s="11" t="s">
        <v>356</v>
      </c>
      <c r="F976" s="11" t="s">
        <v>360</v>
      </c>
      <c r="G976" s="11" t="s">
        <v>361</v>
      </c>
      <c r="I976" t="s">
        <v>1964</v>
      </c>
      <c r="K976" t="s">
        <v>60</v>
      </c>
      <c r="L976" t="s">
        <v>355</v>
      </c>
      <c r="M976" t="s">
        <v>356</v>
      </c>
      <c r="N976" t="s">
        <v>2410</v>
      </c>
      <c r="O976" t="s">
        <v>2459</v>
      </c>
      <c r="Q976" t="e">
        <f t="shared" si="30"/>
        <v>#N/A</v>
      </c>
      <c r="R976">
        <f t="shared" si="31"/>
        <v>1</v>
      </c>
    </row>
    <row r="977" spans="1:18" x14ac:dyDescent="0.35">
      <c r="A977" s="11" t="s">
        <v>82</v>
      </c>
      <c r="B977" s="11" t="s">
        <v>1965</v>
      </c>
      <c r="C977" s="11" t="s">
        <v>1966</v>
      </c>
      <c r="D977" s="11" t="s">
        <v>355</v>
      </c>
      <c r="E977" s="11" t="s">
        <v>356</v>
      </c>
      <c r="F977" s="11" t="s">
        <v>360</v>
      </c>
      <c r="G977" s="11" t="s">
        <v>361</v>
      </c>
      <c r="I977" t="s">
        <v>1966</v>
      </c>
      <c r="K977" t="s">
        <v>361</v>
      </c>
      <c r="L977" t="s">
        <v>355</v>
      </c>
      <c r="M977" t="s">
        <v>356</v>
      </c>
      <c r="N977" t="s">
        <v>2459</v>
      </c>
      <c r="O977" t="s">
        <v>2459</v>
      </c>
      <c r="Q977">
        <f t="shared" si="30"/>
        <v>1</v>
      </c>
      <c r="R977">
        <f t="shared" si="31"/>
        <v>1</v>
      </c>
    </row>
    <row r="978" spans="1:18" x14ac:dyDescent="0.35">
      <c r="A978" s="11" t="s">
        <v>82</v>
      </c>
      <c r="B978" s="11" t="s">
        <v>1967</v>
      </c>
      <c r="C978" s="11" t="s">
        <v>1968</v>
      </c>
      <c r="D978" s="11" t="s">
        <v>355</v>
      </c>
      <c r="E978" s="11" t="s">
        <v>356</v>
      </c>
      <c r="F978" s="11" t="s">
        <v>360</v>
      </c>
      <c r="G978" s="11" t="s">
        <v>361</v>
      </c>
      <c r="I978" t="s">
        <v>1968</v>
      </c>
      <c r="K978" t="s">
        <v>361</v>
      </c>
      <c r="L978" t="s">
        <v>355</v>
      </c>
      <c r="M978" t="s">
        <v>356</v>
      </c>
      <c r="N978" t="s">
        <v>2459</v>
      </c>
      <c r="O978" t="s">
        <v>2459</v>
      </c>
      <c r="Q978">
        <f t="shared" si="30"/>
        <v>1</v>
      </c>
      <c r="R978">
        <f t="shared" si="31"/>
        <v>1</v>
      </c>
    </row>
    <row r="979" spans="1:18" x14ac:dyDescent="0.35">
      <c r="A979" s="11" t="s">
        <v>82</v>
      </c>
      <c r="B979" s="11" t="s">
        <v>1969</v>
      </c>
      <c r="C979" s="11" t="s">
        <v>1970</v>
      </c>
      <c r="D979" s="11" t="s">
        <v>355</v>
      </c>
      <c r="E979" s="11" t="s">
        <v>356</v>
      </c>
      <c r="F979" s="11" t="s">
        <v>363</v>
      </c>
      <c r="G979" s="11" t="s">
        <v>364</v>
      </c>
      <c r="I979" t="s">
        <v>1970</v>
      </c>
      <c r="K979" t="s">
        <v>364</v>
      </c>
      <c r="L979" t="s">
        <v>355</v>
      </c>
      <c r="M979" t="s">
        <v>356</v>
      </c>
      <c r="N979" t="s">
        <v>2459</v>
      </c>
      <c r="O979" t="s">
        <v>2459</v>
      </c>
      <c r="Q979">
        <f t="shared" si="30"/>
        <v>1</v>
      </c>
      <c r="R979">
        <f t="shared" si="31"/>
        <v>1</v>
      </c>
    </row>
    <row r="980" spans="1:18" x14ac:dyDescent="0.35">
      <c r="A980" s="11" t="s">
        <v>82</v>
      </c>
      <c r="B980" s="11" t="s">
        <v>1971</v>
      </c>
      <c r="C980" s="11" t="s">
        <v>1972</v>
      </c>
      <c r="D980" s="11" t="s">
        <v>355</v>
      </c>
      <c r="E980" s="11" t="s">
        <v>356</v>
      </c>
      <c r="F980" s="11" t="s">
        <v>363</v>
      </c>
      <c r="G980" s="11" t="s">
        <v>364</v>
      </c>
      <c r="I980" t="s">
        <v>1972</v>
      </c>
      <c r="K980" t="s">
        <v>364</v>
      </c>
      <c r="L980" t="s">
        <v>355</v>
      </c>
      <c r="M980" t="s">
        <v>356</v>
      </c>
      <c r="N980" t="s">
        <v>2459</v>
      </c>
      <c r="O980" t="s">
        <v>2459</v>
      </c>
      <c r="Q980">
        <f t="shared" si="30"/>
        <v>1</v>
      </c>
      <c r="R980">
        <f t="shared" si="31"/>
        <v>1</v>
      </c>
    </row>
    <row r="981" spans="1:18" x14ac:dyDescent="0.35">
      <c r="A981" s="11" t="s">
        <v>82</v>
      </c>
      <c r="B981" s="11" t="s">
        <v>1973</v>
      </c>
      <c r="C981" s="11" t="s">
        <v>1974</v>
      </c>
      <c r="D981" s="11" t="s">
        <v>355</v>
      </c>
      <c r="E981" s="11" t="s">
        <v>356</v>
      </c>
      <c r="F981" s="11" t="s">
        <v>363</v>
      </c>
      <c r="G981" s="11" t="s">
        <v>364</v>
      </c>
      <c r="I981" t="s">
        <v>1974</v>
      </c>
      <c r="K981" t="s">
        <v>60</v>
      </c>
      <c r="L981" t="s">
        <v>355</v>
      </c>
      <c r="M981" t="s">
        <v>356</v>
      </c>
      <c r="N981" t="s">
        <v>2410</v>
      </c>
      <c r="O981" t="s">
        <v>2459</v>
      </c>
      <c r="Q981" t="e">
        <f t="shared" si="30"/>
        <v>#N/A</v>
      </c>
      <c r="R981">
        <f t="shared" si="31"/>
        <v>1</v>
      </c>
    </row>
    <row r="982" spans="1:18" x14ac:dyDescent="0.35">
      <c r="A982" s="11" t="s">
        <v>82</v>
      </c>
      <c r="B982" s="11" t="s">
        <v>1975</v>
      </c>
      <c r="C982" s="11" t="s">
        <v>1976</v>
      </c>
      <c r="D982" s="11" t="s">
        <v>355</v>
      </c>
      <c r="E982" s="11" t="s">
        <v>356</v>
      </c>
      <c r="F982" s="11" t="s">
        <v>363</v>
      </c>
      <c r="G982" s="11" t="s">
        <v>364</v>
      </c>
      <c r="I982" t="s">
        <v>1976</v>
      </c>
      <c r="K982" t="s">
        <v>364</v>
      </c>
      <c r="L982" t="s">
        <v>355</v>
      </c>
      <c r="M982" t="s">
        <v>356</v>
      </c>
      <c r="N982" t="s">
        <v>2459</v>
      </c>
      <c r="O982" t="s">
        <v>2459</v>
      </c>
      <c r="Q982">
        <f t="shared" si="30"/>
        <v>1</v>
      </c>
      <c r="R982">
        <f t="shared" si="31"/>
        <v>1</v>
      </c>
    </row>
    <row r="983" spans="1:18" x14ac:dyDescent="0.35">
      <c r="A983" s="11" t="s">
        <v>82</v>
      </c>
      <c r="B983" s="11" t="s">
        <v>1977</v>
      </c>
      <c r="C983" s="11" t="s">
        <v>1978</v>
      </c>
      <c r="D983" s="11" t="s">
        <v>355</v>
      </c>
      <c r="E983" s="11" t="s">
        <v>356</v>
      </c>
      <c r="F983" s="11" t="s">
        <v>363</v>
      </c>
      <c r="G983" s="11" t="s">
        <v>364</v>
      </c>
      <c r="I983" t="s">
        <v>1978</v>
      </c>
      <c r="K983" t="s">
        <v>364</v>
      </c>
      <c r="L983" t="s">
        <v>355</v>
      </c>
      <c r="M983" t="s">
        <v>356</v>
      </c>
      <c r="N983" t="s">
        <v>2459</v>
      </c>
      <c r="O983" t="s">
        <v>2459</v>
      </c>
      <c r="Q983">
        <f t="shared" si="30"/>
        <v>1</v>
      </c>
      <c r="R983">
        <f t="shared" si="31"/>
        <v>1</v>
      </c>
    </row>
    <row r="984" spans="1:18" x14ac:dyDescent="0.35">
      <c r="A984" s="11" t="s">
        <v>82</v>
      </c>
      <c r="B984" s="11" t="s">
        <v>1979</v>
      </c>
      <c r="C984" s="11" t="s">
        <v>1980</v>
      </c>
      <c r="D984" s="11" t="s">
        <v>355</v>
      </c>
      <c r="E984" s="11" t="s">
        <v>356</v>
      </c>
      <c r="F984" s="11" t="s">
        <v>363</v>
      </c>
      <c r="G984" s="11" t="s">
        <v>364</v>
      </c>
      <c r="I984" t="s">
        <v>1980</v>
      </c>
      <c r="K984" t="s">
        <v>364</v>
      </c>
      <c r="L984" t="s">
        <v>355</v>
      </c>
      <c r="M984" t="s">
        <v>356</v>
      </c>
      <c r="N984" t="s">
        <v>2459</v>
      </c>
      <c r="O984" t="s">
        <v>2459</v>
      </c>
      <c r="Q984">
        <f t="shared" si="30"/>
        <v>1</v>
      </c>
      <c r="R984">
        <f t="shared" si="31"/>
        <v>1</v>
      </c>
    </row>
    <row r="985" spans="1:18" x14ac:dyDescent="0.35">
      <c r="A985" s="11" t="s">
        <v>82</v>
      </c>
      <c r="B985" s="11" t="s">
        <v>1981</v>
      </c>
      <c r="C985" s="11" t="s">
        <v>1982</v>
      </c>
      <c r="D985" s="11" t="s">
        <v>355</v>
      </c>
      <c r="E985" s="11" t="s">
        <v>356</v>
      </c>
      <c r="F985" s="11" t="s">
        <v>363</v>
      </c>
      <c r="G985" s="11" t="s">
        <v>364</v>
      </c>
      <c r="I985" t="s">
        <v>1982</v>
      </c>
      <c r="K985" t="s">
        <v>364</v>
      </c>
      <c r="L985" t="s">
        <v>355</v>
      </c>
      <c r="M985" t="s">
        <v>356</v>
      </c>
      <c r="N985" t="s">
        <v>2459</v>
      </c>
      <c r="O985" t="s">
        <v>2459</v>
      </c>
      <c r="Q985">
        <f t="shared" si="30"/>
        <v>1</v>
      </c>
      <c r="R985">
        <f t="shared" si="31"/>
        <v>1</v>
      </c>
    </row>
    <row r="986" spans="1:18" x14ac:dyDescent="0.35">
      <c r="A986" s="11" t="s">
        <v>82</v>
      </c>
      <c r="B986" s="11" t="s">
        <v>1983</v>
      </c>
      <c r="C986" s="11" t="s">
        <v>1984</v>
      </c>
      <c r="D986" s="11" t="s">
        <v>355</v>
      </c>
      <c r="E986" s="11" t="s">
        <v>356</v>
      </c>
      <c r="F986" s="11" t="s">
        <v>363</v>
      </c>
      <c r="G986" s="11" t="s">
        <v>364</v>
      </c>
      <c r="I986" t="s">
        <v>1984</v>
      </c>
      <c r="K986" t="s">
        <v>364</v>
      </c>
      <c r="L986" t="s">
        <v>355</v>
      </c>
      <c r="M986" t="s">
        <v>356</v>
      </c>
      <c r="N986" t="s">
        <v>2459</v>
      </c>
      <c r="O986" t="s">
        <v>2459</v>
      </c>
      <c r="Q986">
        <f t="shared" si="30"/>
        <v>1</v>
      </c>
      <c r="R986">
        <f t="shared" si="31"/>
        <v>1</v>
      </c>
    </row>
    <row r="987" spans="1:18" x14ac:dyDescent="0.35">
      <c r="A987" s="11" t="s">
        <v>82</v>
      </c>
      <c r="B987" s="11" t="s">
        <v>1985</v>
      </c>
      <c r="C987" s="11" t="s">
        <v>1986</v>
      </c>
      <c r="D987" s="11" t="s">
        <v>355</v>
      </c>
      <c r="E987" s="11" t="s">
        <v>356</v>
      </c>
      <c r="F987" s="11" t="s">
        <v>363</v>
      </c>
      <c r="G987" s="11" t="s">
        <v>364</v>
      </c>
      <c r="I987" t="s">
        <v>1986</v>
      </c>
      <c r="K987" t="s">
        <v>364</v>
      </c>
      <c r="L987" t="s">
        <v>355</v>
      </c>
      <c r="M987" t="s">
        <v>356</v>
      </c>
      <c r="N987" t="s">
        <v>2459</v>
      </c>
      <c r="O987" t="s">
        <v>2459</v>
      </c>
      <c r="Q987">
        <f t="shared" si="30"/>
        <v>1</v>
      </c>
      <c r="R987">
        <f t="shared" si="31"/>
        <v>1</v>
      </c>
    </row>
    <row r="988" spans="1:18" x14ac:dyDescent="0.35">
      <c r="A988" s="11" t="s">
        <v>82</v>
      </c>
      <c r="B988" s="11" t="s">
        <v>1987</v>
      </c>
      <c r="C988" s="11" t="s">
        <v>1988</v>
      </c>
      <c r="D988" s="11" t="s">
        <v>355</v>
      </c>
      <c r="E988" s="11" t="s">
        <v>356</v>
      </c>
      <c r="F988" s="11" t="s">
        <v>363</v>
      </c>
      <c r="G988" s="11" t="s">
        <v>364</v>
      </c>
      <c r="I988" t="s">
        <v>1988</v>
      </c>
      <c r="K988" t="s">
        <v>364</v>
      </c>
      <c r="L988" t="s">
        <v>355</v>
      </c>
      <c r="M988" t="s">
        <v>356</v>
      </c>
      <c r="N988" t="s">
        <v>2459</v>
      </c>
      <c r="O988" t="s">
        <v>2459</v>
      </c>
      <c r="Q988">
        <f t="shared" si="30"/>
        <v>1</v>
      </c>
      <c r="R988">
        <f t="shared" si="31"/>
        <v>1</v>
      </c>
    </row>
    <row r="989" spans="1:18" x14ac:dyDescent="0.35">
      <c r="A989" s="11" t="s">
        <v>82</v>
      </c>
      <c r="B989" s="11" t="s">
        <v>1989</v>
      </c>
      <c r="C989" s="11" t="s">
        <v>1990</v>
      </c>
      <c r="D989" s="11" t="s">
        <v>366</v>
      </c>
      <c r="E989" s="11" t="s">
        <v>367</v>
      </c>
      <c r="F989" s="11" t="s">
        <v>368</v>
      </c>
      <c r="G989" s="11" t="s">
        <v>369</v>
      </c>
      <c r="I989" t="s">
        <v>1990</v>
      </c>
      <c r="K989" t="s">
        <v>369</v>
      </c>
      <c r="L989" t="s">
        <v>366</v>
      </c>
      <c r="M989" t="s">
        <v>367</v>
      </c>
      <c r="N989" t="s">
        <v>2459</v>
      </c>
      <c r="O989" t="s">
        <v>2459</v>
      </c>
      <c r="Q989">
        <f t="shared" si="30"/>
        <v>1</v>
      </c>
      <c r="R989">
        <f t="shared" si="31"/>
        <v>1</v>
      </c>
    </row>
    <row r="990" spans="1:18" x14ac:dyDescent="0.35">
      <c r="A990" s="11" t="s">
        <v>82</v>
      </c>
      <c r="B990" s="11" t="s">
        <v>1991</v>
      </c>
      <c r="C990" s="11" t="s">
        <v>1992</v>
      </c>
      <c r="D990" s="11" t="s">
        <v>366</v>
      </c>
      <c r="E990" s="11" t="s">
        <v>367</v>
      </c>
      <c r="F990" s="11" t="s">
        <v>368</v>
      </c>
      <c r="G990" s="11" t="s">
        <v>369</v>
      </c>
      <c r="I990" t="s">
        <v>1992</v>
      </c>
      <c r="K990" t="s">
        <v>369</v>
      </c>
      <c r="L990" t="s">
        <v>366</v>
      </c>
      <c r="M990" t="s">
        <v>367</v>
      </c>
      <c r="N990" t="s">
        <v>2459</v>
      </c>
      <c r="O990" t="s">
        <v>2459</v>
      </c>
      <c r="Q990">
        <f t="shared" si="30"/>
        <v>1</v>
      </c>
      <c r="R990">
        <f t="shared" si="31"/>
        <v>1</v>
      </c>
    </row>
    <row r="991" spans="1:18" x14ac:dyDescent="0.35">
      <c r="A991" s="11" t="s">
        <v>82</v>
      </c>
      <c r="B991" s="11" t="s">
        <v>1993</v>
      </c>
      <c r="C991" s="11" t="s">
        <v>1994</v>
      </c>
      <c r="D991" s="11" t="s">
        <v>366</v>
      </c>
      <c r="E991" s="11" t="s">
        <v>367</v>
      </c>
      <c r="F991" s="11" t="s">
        <v>368</v>
      </c>
      <c r="G991" s="11" t="s">
        <v>369</v>
      </c>
      <c r="I991" t="s">
        <v>1994</v>
      </c>
      <c r="K991" t="s">
        <v>369</v>
      </c>
      <c r="L991" t="s">
        <v>366</v>
      </c>
      <c r="M991" t="s">
        <v>367</v>
      </c>
      <c r="N991" t="s">
        <v>2459</v>
      </c>
      <c r="O991" t="s">
        <v>2459</v>
      </c>
      <c r="Q991">
        <f t="shared" si="30"/>
        <v>1</v>
      </c>
      <c r="R991">
        <f t="shared" si="31"/>
        <v>1</v>
      </c>
    </row>
    <row r="992" spans="1:18" x14ac:dyDescent="0.35">
      <c r="A992" s="11" t="s">
        <v>82</v>
      </c>
      <c r="B992" s="11" t="s">
        <v>1995</v>
      </c>
      <c r="C992" s="11" t="s">
        <v>1996</v>
      </c>
      <c r="D992" s="11" t="s">
        <v>366</v>
      </c>
      <c r="E992" s="11" t="s">
        <v>367</v>
      </c>
      <c r="F992" s="11" t="s">
        <v>368</v>
      </c>
      <c r="G992" s="11" t="s">
        <v>369</v>
      </c>
      <c r="I992" t="s">
        <v>1996</v>
      </c>
      <c r="K992" t="s">
        <v>369</v>
      </c>
      <c r="L992" t="s">
        <v>366</v>
      </c>
      <c r="M992" t="s">
        <v>367</v>
      </c>
      <c r="N992" t="s">
        <v>2459</v>
      </c>
      <c r="O992" t="s">
        <v>2459</v>
      </c>
      <c r="Q992">
        <f t="shared" si="30"/>
        <v>1</v>
      </c>
      <c r="R992">
        <f t="shared" si="31"/>
        <v>1</v>
      </c>
    </row>
    <row r="993" spans="1:18" x14ac:dyDescent="0.35">
      <c r="A993" s="11" t="s">
        <v>82</v>
      </c>
      <c r="B993" s="11" t="s">
        <v>1997</v>
      </c>
      <c r="C993" s="11" t="s">
        <v>367</v>
      </c>
      <c r="D993" s="11" t="s">
        <v>366</v>
      </c>
      <c r="E993" s="11" t="s">
        <v>367</v>
      </c>
      <c r="F993" s="11" t="s">
        <v>368</v>
      </c>
      <c r="G993" s="11" t="s">
        <v>369</v>
      </c>
      <c r="I993" t="s">
        <v>367</v>
      </c>
      <c r="K993" t="s">
        <v>369</v>
      </c>
      <c r="L993" t="s">
        <v>366</v>
      </c>
      <c r="M993" t="s">
        <v>367</v>
      </c>
      <c r="N993" t="s">
        <v>2459</v>
      </c>
      <c r="O993" t="s">
        <v>2459</v>
      </c>
      <c r="Q993">
        <f t="shared" si="30"/>
        <v>1</v>
      </c>
      <c r="R993">
        <f t="shared" si="31"/>
        <v>1</v>
      </c>
    </row>
    <row r="994" spans="1:18" x14ac:dyDescent="0.35">
      <c r="A994" s="11" t="s">
        <v>82</v>
      </c>
      <c r="B994" s="11" t="s">
        <v>1998</v>
      </c>
      <c r="C994" s="11" t="s">
        <v>1999</v>
      </c>
      <c r="D994" s="11" t="s">
        <v>366</v>
      </c>
      <c r="E994" s="11" t="s">
        <v>367</v>
      </c>
      <c r="F994" s="11" t="s">
        <v>368</v>
      </c>
      <c r="G994" s="11" t="s">
        <v>369</v>
      </c>
      <c r="I994" t="s">
        <v>1999</v>
      </c>
      <c r="K994" t="s">
        <v>369</v>
      </c>
      <c r="L994" t="s">
        <v>366</v>
      </c>
      <c r="M994" t="s">
        <v>367</v>
      </c>
      <c r="N994" t="s">
        <v>2459</v>
      </c>
      <c r="O994" t="s">
        <v>2459</v>
      </c>
      <c r="Q994">
        <f t="shared" si="30"/>
        <v>1</v>
      </c>
      <c r="R994">
        <f t="shared" si="31"/>
        <v>1</v>
      </c>
    </row>
    <row r="995" spans="1:18" x14ac:dyDescent="0.35">
      <c r="A995" s="11" t="s">
        <v>82</v>
      </c>
      <c r="B995" s="11" t="s">
        <v>2000</v>
      </c>
      <c r="C995" s="11" t="s">
        <v>369</v>
      </c>
      <c r="D995" s="11" t="s">
        <v>366</v>
      </c>
      <c r="E995" s="11" t="s">
        <v>367</v>
      </c>
      <c r="F995" s="11" t="s">
        <v>368</v>
      </c>
      <c r="G995" s="11" t="s">
        <v>369</v>
      </c>
      <c r="I995" t="s">
        <v>369</v>
      </c>
      <c r="K995" t="s">
        <v>369</v>
      </c>
      <c r="L995" t="s">
        <v>366</v>
      </c>
      <c r="M995" t="s">
        <v>367</v>
      </c>
      <c r="N995" t="s">
        <v>2459</v>
      </c>
      <c r="O995" t="s">
        <v>2459</v>
      </c>
      <c r="Q995">
        <f t="shared" si="30"/>
        <v>1</v>
      </c>
      <c r="R995">
        <f t="shared" si="31"/>
        <v>1</v>
      </c>
    </row>
    <row r="996" spans="1:18" x14ac:dyDescent="0.35">
      <c r="A996" s="11" t="s">
        <v>82</v>
      </c>
      <c r="B996" s="11" t="s">
        <v>2001</v>
      </c>
      <c r="C996" s="11" t="s">
        <v>2002</v>
      </c>
      <c r="D996" s="11" t="s">
        <v>366</v>
      </c>
      <c r="E996" s="11" t="s">
        <v>367</v>
      </c>
      <c r="F996" s="11" t="s">
        <v>368</v>
      </c>
      <c r="G996" s="11" t="s">
        <v>369</v>
      </c>
      <c r="I996" t="s">
        <v>2002</v>
      </c>
      <c r="K996" t="s">
        <v>369</v>
      </c>
      <c r="L996" t="s">
        <v>366</v>
      </c>
      <c r="M996" t="s">
        <v>367</v>
      </c>
      <c r="N996" t="s">
        <v>2459</v>
      </c>
      <c r="O996" t="s">
        <v>2459</v>
      </c>
      <c r="Q996">
        <f t="shared" si="30"/>
        <v>1</v>
      </c>
      <c r="R996">
        <f t="shared" si="31"/>
        <v>1</v>
      </c>
    </row>
    <row r="997" spans="1:18" x14ac:dyDescent="0.35">
      <c r="A997" s="11" t="s">
        <v>82</v>
      </c>
      <c r="B997" s="11" t="s">
        <v>2003</v>
      </c>
      <c r="C997" s="11" t="s">
        <v>2004</v>
      </c>
      <c r="D997" s="11" t="s">
        <v>366</v>
      </c>
      <c r="E997" s="11" t="s">
        <v>367</v>
      </c>
      <c r="F997" s="11" t="s">
        <v>368</v>
      </c>
      <c r="G997" s="11" t="s">
        <v>369</v>
      </c>
      <c r="I997" t="s">
        <v>2004</v>
      </c>
      <c r="K997" t="s">
        <v>369</v>
      </c>
      <c r="L997" t="s">
        <v>366</v>
      </c>
      <c r="M997" t="s">
        <v>367</v>
      </c>
      <c r="N997" t="s">
        <v>2459</v>
      </c>
      <c r="O997" t="s">
        <v>2459</v>
      </c>
      <c r="Q997">
        <f t="shared" si="30"/>
        <v>1</v>
      </c>
      <c r="R997">
        <f t="shared" si="31"/>
        <v>1</v>
      </c>
    </row>
    <row r="998" spans="1:18" x14ac:dyDescent="0.35">
      <c r="A998" s="11" t="s">
        <v>82</v>
      </c>
      <c r="B998" s="11" t="s">
        <v>2005</v>
      </c>
      <c r="C998" s="11" t="s">
        <v>2006</v>
      </c>
      <c r="D998" s="11" t="s">
        <v>366</v>
      </c>
      <c r="E998" s="11" t="s">
        <v>367</v>
      </c>
      <c r="F998" s="11" t="s">
        <v>368</v>
      </c>
      <c r="G998" s="11" t="s">
        <v>369</v>
      </c>
      <c r="I998" t="s">
        <v>2006</v>
      </c>
      <c r="K998" t="s">
        <v>369</v>
      </c>
      <c r="L998" t="s">
        <v>366</v>
      </c>
      <c r="M998" t="s">
        <v>367</v>
      </c>
      <c r="N998" t="s">
        <v>2459</v>
      </c>
      <c r="O998" t="s">
        <v>2459</v>
      </c>
      <c r="Q998">
        <f t="shared" si="30"/>
        <v>1</v>
      </c>
      <c r="R998">
        <f t="shared" si="31"/>
        <v>1</v>
      </c>
    </row>
    <row r="999" spans="1:18" x14ac:dyDescent="0.35">
      <c r="A999" s="11" t="s">
        <v>82</v>
      </c>
      <c r="B999" s="11" t="s">
        <v>2007</v>
      </c>
      <c r="C999" s="11" t="s">
        <v>2008</v>
      </c>
      <c r="D999" s="11" t="s">
        <v>366</v>
      </c>
      <c r="E999" s="11" t="s">
        <v>367</v>
      </c>
      <c r="F999" s="11" t="s">
        <v>371</v>
      </c>
      <c r="G999" s="11" t="s">
        <v>372</v>
      </c>
      <c r="I999" t="s">
        <v>2008</v>
      </c>
      <c r="K999" t="s">
        <v>372</v>
      </c>
      <c r="L999" t="s">
        <v>366</v>
      </c>
      <c r="M999" t="s">
        <v>367</v>
      </c>
      <c r="N999" t="s">
        <v>2459</v>
      </c>
      <c r="O999" t="s">
        <v>2459</v>
      </c>
      <c r="Q999">
        <f t="shared" si="30"/>
        <v>1</v>
      </c>
      <c r="R999">
        <f t="shared" si="31"/>
        <v>1</v>
      </c>
    </row>
    <row r="1000" spans="1:18" x14ac:dyDescent="0.35">
      <c r="A1000" s="11" t="s">
        <v>82</v>
      </c>
      <c r="B1000" s="11" t="s">
        <v>2009</v>
      </c>
      <c r="C1000" s="11" t="s">
        <v>2010</v>
      </c>
      <c r="D1000" s="11" t="s">
        <v>366</v>
      </c>
      <c r="E1000" s="11" t="s">
        <v>367</v>
      </c>
      <c r="F1000" s="11" t="s">
        <v>371</v>
      </c>
      <c r="G1000" s="11" t="s">
        <v>372</v>
      </c>
      <c r="I1000" t="s">
        <v>2010</v>
      </c>
      <c r="K1000" t="s">
        <v>372</v>
      </c>
      <c r="L1000" t="s">
        <v>366</v>
      </c>
      <c r="M1000" t="s">
        <v>367</v>
      </c>
      <c r="N1000" t="s">
        <v>2459</v>
      </c>
      <c r="O1000" t="s">
        <v>2459</v>
      </c>
      <c r="Q1000">
        <f t="shared" si="30"/>
        <v>1</v>
      </c>
      <c r="R1000">
        <f t="shared" si="31"/>
        <v>1</v>
      </c>
    </row>
    <row r="1001" spans="1:18" x14ac:dyDescent="0.35">
      <c r="A1001" s="11" t="s">
        <v>82</v>
      </c>
      <c r="B1001" s="11" t="s">
        <v>2011</v>
      </c>
      <c r="C1001" s="11" t="s">
        <v>2012</v>
      </c>
      <c r="D1001" s="11" t="s">
        <v>366</v>
      </c>
      <c r="E1001" s="11" t="s">
        <v>367</v>
      </c>
      <c r="F1001" s="11" t="s">
        <v>371</v>
      </c>
      <c r="G1001" s="11" t="s">
        <v>372</v>
      </c>
      <c r="I1001" t="s">
        <v>2012</v>
      </c>
      <c r="K1001" t="s">
        <v>372</v>
      </c>
      <c r="L1001" t="s">
        <v>366</v>
      </c>
      <c r="M1001" t="s">
        <v>367</v>
      </c>
      <c r="N1001" t="s">
        <v>2459</v>
      </c>
      <c r="O1001" t="s">
        <v>2459</v>
      </c>
      <c r="Q1001">
        <f t="shared" si="30"/>
        <v>1</v>
      </c>
      <c r="R1001">
        <f t="shared" si="31"/>
        <v>1</v>
      </c>
    </row>
    <row r="1002" spans="1:18" x14ac:dyDescent="0.35">
      <c r="A1002" s="11" t="s">
        <v>82</v>
      </c>
      <c r="B1002" s="11" t="s">
        <v>2013</v>
      </c>
      <c r="C1002" s="11" t="s">
        <v>2014</v>
      </c>
      <c r="D1002" s="11" t="s">
        <v>366</v>
      </c>
      <c r="E1002" s="11" t="s">
        <v>367</v>
      </c>
      <c r="F1002" s="11" t="s">
        <v>371</v>
      </c>
      <c r="G1002" s="11" t="s">
        <v>372</v>
      </c>
      <c r="I1002" t="s">
        <v>2014</v>
      </c>
      <c r="K1002" t="s">
        <v>372</v>
      </c>
      <c r="L1002" t="s">
        <v>366</v>
      </c>
      <c r="M1002" t="s">
        <v>367</v>
      </c>
      <c r="N1002" t="s">
        <v>2459</v>
      </c>
      <c r="O1002" t="s">
        <v>2459</v>
      </c>
      <c r="Q1002">
        <f t="shared" si="30"/>
        <v>1</v>
      </c>
      <c r="R1002">
        <f t="shared" si="31"/>
        <v>1</v>
      </c>
    </row>
    <row r="1003" spans="1:18" x14ac:dyDescent="0.35">
      <c r="A1003" s="11" t="s">
        <v>82</v>
      </c>
      <c r="B1003" s="11" t="s">
        <v>2015</v>
      </c>
      <c r="C1003" s="11" t="s">
        <v>2016</v>
      </c>
      <c r="D1003" s="11" t="s">
        <v>366</v>
      </c>
      <c r="E1003" s="11" t="s">
        <v>367</v>
      </c>
      <c r="F1003" s="11" t="s">
        <v>371</v>
      </c>
      <c r="G1003" s="11" t="s">
        <v>372</v>
      </c>
      <c r="I1003" t="s">
        <v>2016</v>
      </c>
      <c r="K1003" t="s">
        <v>372</v>
      </c>
      <c r="L1003" t="s">
        <v>366</v>
      </c>
      <c r="M1003" t="s">
        <v>367</v>
      </c>
      <c r="N1003" t="s">
        <v>2459</v>
      </c>
      <c r="O1003" t="s">
        <v>2459</v>
      </c>
      <c r="Q1003">
        <f t="shared" si="30"/>
        <v>1</v>
      </c>
      <c r="R1003">
        <f t="shared" si="31"/>
        <v>1</v>
      </c>
    </row>
    <row r="1004" spans="1:18" x14ac:dyDescent="0.35">
      <c r="A1004" s="11" t="s">
        <v>82</v>
      </c>
      <c r="B1004" s="11" t="s">
        <v>2017</v>
      </c>
      <c r="C1004" s="11" t="s">
        <v>2018</v>
      </c>
      <c r="D1004" s="11" t="s">
        <v>374</v>
      </c>
      <c r="E1004" s="11" t="s">
        <v>375</v>
      </c>
      <c r="F1004" s="11" t="s">
        <v>376</v>
      </c>
      <c r="G1004" s="11" t="s">
        <v>79</v>
      </c>
      <c r="I1004" t="s">
        <v>2018</v>
      </c>
      <c r="K1004" t="s">
        <v>80</v>
      </c>
      <c r="L1004" t="s">
        <v>374</v>
      </c>
      <c r="M1004" t="s">
        <v>375</v>
      </c>
      <c r="N1004" t="s">
        <v>2459</v>
      </c>
      <c r="O1004" t="s">
        <v>2459</v>
      </c>
      <c r="P1004" t="s">
        <v>2259</v>
      </c>
      <c r="Q1004" t="e">
        <f t="shared" si="30"/>
        <v>#N/A</v>
      </c>
      <c r="R1004">
        <f t="shared" si="31"/>
        <v>1</v>
      </c>
    </row>
    <row r="1005" spans="1:18" x14ac:dyDescent="0.35">
      <c r="A1005" s="11" t="s">
        <v>82</v>
      </c>
      <c r="B1005" s="11" t="s">
        <v>2019</v>
      </c>
      <c r="C1005" s="11" t="s">
        <v>2020</v>
      </c>
      <c r="D1005" s="11" t="s">
        <v>374</v>
      </c>
      <c r="E1005" s="11" t="s">
        <v>375</v>
      </c>
      <c r="F1005" s="11" t="s">
        <v>376</v>
      </c>
      <c r="G1005" s="11" t="s">
        <v>79</v>
      </c>
      <c r="I1005" t="s">
        <v>2020</v>
      </c>
      <c r="K1005" t="s">
        <v>80</v>
      </c>
      <c r="L1005" t="s">
        <v>374</v>
      </c>
      <c r="M1005" t="s">
        <v>375</v>
      </c>
      <c r="N1005" t="s">
        <v>2459</v>
      </c>
      <c r="O1005" t="s">
        <v>2459</v>
      </c>
      <c r="P1005" t="s">
        <v>2259</v>
      </c>
      <c r="Q1005" t="e">
        <f t="shared" si="30"/>
        <v>#N/A</v>
      </c>
      <c r="R1005">
        <f t="shared" si="31"/>
        <v>1</v>
      </c>
    </row>
    <row r="1006" spans="1:18" x14ac:dyDescent="0.35">
      <c r="A1006" s="11" t="s">
        <v>82</v>
      </c>
      <c r="B1006" s="11" t="s">
        <v>2021</v>
      </c>
      <c r="C1006" s="11" t="s">
        <v>2022</v>
      </c>
      <c r="D1006" s="11" t="s">
        <v>374</v>
      </c>
      <c r="E1006" s="11" t="s">
        <v>375</v>
      </c>
      <c r="F1006" s="11" t="s">
        <v>376</v>
      </c>
      <c r="G1006" s="11" t="s">
        <v>79</v>
      </c>
      <c r="I1006" t="s">
        <v>2022</v>
      </c>
      <c r="K1006" t="s">
        <v>80</v>
      </c>
      <c r="L1006" t="s">
        <v>374</v>
      </c>
      <c r="M1006" t="s">
        <v>375</v>
      </c>
      <c r="N1006" t="s">
        <v>2459</v>
      </c>
      <c r="O1006" t="s">
        <v>2459</v>
      </c>
      <c r="P1006" t="s">
        <v>2259</v>
      </c>
      <c r="Q1006" t="e">
        <f t="shared" si="30"/>
        <v>#N/A</v>
      </c>
      <c r="R1006">
        <f t="shared" si="31"/>
        <v>1</v>
      </c>
    </row>
    <row r="1007" spans="1:18" x14ac:dyDescent="0.35">
      <c r="A1007" s="11" t="s">
        <v>82</v>
      </c>
      <c r="B1007" s="11" t="s">
        <v>2023</v>
      </c>
      <c r="C1007" s="11" t="s">
        <v>2024</v>
      </c>
      <c r="D1007" s="11" t="s">
        <v>374</v>
      </c>
      <c r="E1007" s="11" t="s">
        <v>375</v>
      </c>
      <c r="F1007" s="11" t="s">
        <v>376</v>
      </c>
      <c r="G1007" s="11" t="s">
        <v>79</v>
      </c>
      <c r="I1007" t="s">
        <v>2024</v>
      </c>
      <c r="K1007" t="s">
        <v>80</v>
      </c>
      <c r="L1007" t="s">
        <v>374</v>
      </c>
      <c r="M1007" t="s">
        <v>375</v>
      </c>
      <c r="N1007" t="s">
        <v>2459</v>
      </c>
      <c r="O1007" t="s">
        <v>2459</v>
      </c>
      <c r="P1007" t="s">
        <v>2259</v>
      </c>
      <c r="Q1007" t="e">
        <f t="shared" si="30"/>
        <v>#N/A</v>
      </c>
      <c r="R1007">
        <f t="shared" si="31"/>
        <v>1</v>
      </c>
    </row>
    <row r="1008" spans="1:18" x14ac:dyDescent="0.35">
      <c r="A1008" s="11" t="s">
        <v>82</v>
      </c>
      <c r="B1008" s="11" t="s">
        <v>2025</v>
      </c>
      <c r="C1008" s="11" t="s">
        <v>2026</v>
      </c>
      <c r="D1008" s="11" t="s">
        <v>374</v>
      </c>
      <c r="E1008" s="11" t="s">
        <v>375</v>
      </c>
      <c r="F1008" s="11" t="s">
        <v>376</v>
      </c>
      <c r="G1008" s="11" t="s">
        <v>79</v>
      </c>
      <c r="I1008" t="s">
        <v>2026</v>
      </c>
      <c r="K1008" t="s">
        <v>80</v>
      </c>
      <c r="L1008" t="s">
        <v>374</v>
      </c>
      <c r="M1008" t="s">
        <v>375</v>
      </c>
      <c r="N1008" t="s">
        <v>2459</v>
      </c>
      <c r="O1008" t="s">
        <v>2459</v>
      </c>
      <c r="P1008" t="s">
        <v>2259</v>
      </c>
      <c r="Q1008" t="e">
        <f t="shared" si="30"/>
        <v>#N/A</v>
      </c>
      <c r="R1008">
        <f t="shared" si="31"/>
        <v>1</v>
      </c>
    </row>
    <row r="1009" spans="1:18" x14ac:dyDescent="0.35">
      <c r="A1009" s="11" t="s">
        <v>82</v>
      </c>
      <c r="B1009" s="11" t="s">
        <v>2027</v>
      </c>
      <c r="C1009" s="11" t="s">
        <v>2028</v>
      </c>
      <c r="D1009" s="11" t="s">
        <v>374</v>
      </c>
      <c r="E1009" s="11" t="s">
        <v>375</v>
      </c>
      <c r="F1009" s="11" t="s">
        <v>376</v>
      </c>
      <c r="G1009" s="11" t="s">
        <v>79</v>
      </c>
      <c r="I1009" t="s">
        <v>2028</v>
      </c>
      <c r="K1009" t="s">
        <v>80</v>
      </c>
      <c r="L1009" t="s">
        <v>374</v>
      </c>
      <c r="M1009" t="s">
        <v>375</v>
      </c>
      <c r="N1009" t="s">
        <v>2459</v>
      </c>
      <c r="O1009" t="s">
        <v>2459</v>
      </c>
      <c r="P1009" t="s">
        <v>2259</v>
      </c>
      <c r="Q1009" t="e">
        <f t="shared" si="30"/>
        <v>#N/A</v>
      </c>
      <c r="R1009">
        <f t="shared" si="31"/>
        <v>1</v>
      </c>
    </row>
    <row r="1010" spans="1:18" x14ac:dyDescent="0.35">
      <c r="A1010" s="11" t="s">
        <v>82</v>
      </c>
      <c r="B1010" s="11" t="s">
        <v>2029</v>
      </c>
      <c r="C1010" s="11" t="s">
        <v>79</v>
      </c>
      <c r="D1010" s="11" t="s">
        <v>374</v>
      </c>
      <c r="E1010" s="11" t="s">
        <v>375</v>
      </c>
      <c r="F1010" s="11" t="s">
        <v>376</v>
      </c>
      <c r="G1010" s="11" t="s">
        <v>79</v>
      </c>
      <c r="I1010" t="s">
        <v>79</v>
      </c>
      <c r="K1010" t="s">
        <v>80</v>
      </c>
      <c r="L1010" t="s">
        <v>374</v>
      </c>
      <c r="M1010" t="s">
        <v>375</v>
      </c>
      <c r="N1010" t="s">
        <v>2459</v>
      </c>
      <c r="O1010" t="s">
        <v>2459</v>
      </c>
      <c r="P1010" t="s">
        <v>2259</v>
      </c>
      <c r="Q1010" t="e">
        <f t="shared" si="30"/>
        <v>#N/A</v>
      </c>
      <c r="R1010">
        <f t="shared" si="31"/>
        <v>1</v>
      </c>
    </row>
    <row r="1011" spans="1:18" x14ac:dyDescent="0.35">
      <c r="A1011" s="11" t="s">
        <v>82</v>
      </c>
      <c r="B1011" s="11" t="s">
        <v>2030</v>
      </c>
      <c r="C1011" s="11" t="s">
        <v>2031</v>
      </c>
      <c r="D1011" s="11" t="s">
        <v>374</v>
      </c>
      <c r="E1011" s="11" t="s">
        <v>375</v>
      </c>
      <c r="F1011" s="11" t="s">
        <v>376</v>
      </c>
      <c r="G1011" s="11" t="s">
        <v>79</v>
      </c>
      <c r="I1011" t="s">
        <v>2031</v>
      </c>
      <c r="K1011" t="s">
        <v>80</v>
      </c>
      <c r="L1011" t="s">
        <v>374</v>
      </c>
      <c r="M1011" t="s">
        <v>375</v>
      </c>
      <c r="N1011" t="s">
        <v>2459</v>
      </c>
      <c r="O1011" t="s">
        <v>2459</v>
      </c>
      <c r="P1011" t="s">
        <v>2259</v>
      </c>
      <c r="Q1011" t="e">
        <f t="shared" si="30"/>
        <v>#N/A</v>
      </c>
      <c r="R1011">
        <f t="shared" si="31"/>
        <v>1</v>
      </c>
    </row>
    <row r="1012" spans="1:18" x14ac:dyDescent="0.35">
      <c r="A1012" s="11" t="s">
        <v>82</v>
      </c>
      <c r="B1012" s="11" t="s">
        <v>2032</v>
      </c>
      <c r="C1012" s="11" t="s">
        <v>2033</v>
      </c>
      <c r="D1012" s="11" t="s">
        <v>374</v>
      </c>
      <c r="E1012" s="11" t="s">
        <v>375</v>
      </c>
      <c r="F1012" s="11" t="s">
        <v>376</v>
      </c>
      <c r="G1012" s="11" t="s">
        <v>79</v>
      </c>
      <c r="I1012" t="s">
        <v>2033</v>
      </c>
      <c r="K1012" t="s">
        <v>80</v>
      </c>
      <c r="L1012" t="s">
        <v>374</v>
      </c>
      <c r="M1012" t="s">
        <v>375</v>
      </c>
      <c r="N1012" t="s">
        <v>2459</v>
      </c>
      <c r="O1012" t="s">
        <v>2459</v>
      </c>
      <c r="P1012" t="s">
        <v>2259</v>
      </c>
      <c r="Q1012" t="e">
        <f t="shared" si="30"/>
        <v>#N/A</v>
      </c>
      <c r="R1012">
        <f t="shared" si="31"/>
        <v>1</v>
      </c>
    </row>
    <row r="1013" spans="1:18" x14ac:dyDescent="0.35">
      <c r="A1013" s="11" t="s">
        <v>82</v>
      </c>
      <c r="B1013" s="11" t="s">
        <v>2034</v>
      </c>
      <c r="C1013" s="11" t="s">
        <v>2035</v>
      </c>
      <c r="D1013" s="11" t="s">
        <v>374</v>
      </c>
      <c r="E1013" s="11" t="s">
        <v>375</v>
      </c>
      <c r="F1013" s="11" t="s">
        <v>376</v>
      </c>
      <c r="G1013" s="11" t="s">
        <v>79</v>
      </c>
      <c r="I1013" t="s">
        <v>2035</v>
      </c>
      <c r="K1013" t="s">
        <v>80</v>
      </c>
      <c r="L1013" t="s">
        <v>374</v>
      </c>
      <c r="M1013" t="s">
        <v>375</v>
      </c>
      <c r="N1013" t="s">
        <v>2459</v>
      </c>
      <c r="O1013" t="s">
        <v>2459</v>
      </c>
      <c r="P1013" t="s">
        <v>2259</v>
      </c>
      <c r="Q1013" t="e">
        <f t="shared" si="30"/>
        <v>#N/A</v>
      </c>
      <c r="R1013">
        <f t="shared" si="31"/>
        <v>1</v>
      </c>
    </row>
    <row r="1014" spans="1:18" x14ac:dyDescent="0.35">
      <c r="A1014" s="11" t="s">
        <v>82</v>
      </c>
      <c r="B1014" s="11" t="s">
        <v>2036</v>
      </c>
      <c r="C1014" s="11" t="s">
        <v>2037</v>
      </c>
      <c r="D1014" s="11" t="s">
        <v>374</v>
      </c>
      <c r="E1014" s="11" t="s">
        <v>375</v>
      </c>
      <c r="F1014" s="11" t="s">
        <v>376</v>
      </c>
      <c r="G1014" s="11" t="s">
        <v>79</v>
      </c>
      <c r="I1014" t="s">
        <v>2037</v>
      </c>
      <c r="K1014" t="s">
        <v>80</v>
      </c>
      <c r="L1014" t="s">
        <v>374</v>
      </c>
      <c r="M1014" t="s">
        <v>375</v>
      </c>
      <c r="N1014" t="s">
        <v>2459</v>
      </c>
      <c r="O1014" t="s">
        <v>2459</v>
      </c>
      <c r="P1014" t="s">
        <v>2259</v>
      </c>
      <c r="Q1014" t="e">
        <f t="shared" si="30"/>
        <v>#N/A</v>
      </c>
      <c r="R1014">
        <f t="shared" si="31"/>
        <v>1</v>
      </c>
    </row>
    <row r="1015" spans="1:18" x14ac:dyDescent="0.35">
      <c r="A1015" s="11" t="s">
        <v>82</v>
      </c>
      <c r="B1015" s="11" t="s">
        <v>2038</v>
      </c>
      <c r="C1015" s="11" t="s">
        <v>2039</v>
      </c>
      <c r="D1015" s="11" t="s">
        <v>374</v>
      </c>
      <c r="E1015" s="11" t="s">
        <v>375</v>
      </c>
      <c r="F1015" s="11" t="s">
        <v>376</v>
      </c>
      <c r="G1015" s="11" t="s">
        <v>79</v>
      </c>
      <c r="I1015" t="s">
        <v>2039</v>
      </c>
      <c r="K1015" t="s">
        <v>80</v>
      </c>
      <c r="L1015" t="s">
        <v>374</v>
      </c>
      <c r="M1015" t="s">
        <v>375</v>
      </c>
      <c r="N1015" t="s">
        <v>2459</v>
      </c>
      <c r="O1015" t="s">
        <v>2459</v>
      </c>
      <c r="P1015" t="s">
        <v>2259</v>
      </c>
      <c r="Q1015" t="e">
        <f t="shared" si="30"/>
        <v>#N/A</v>
      </c>
      <c r="R1015">
        <f t="shared" si="31"/>
        <v>1</v>
      </c>
    </row>
    <row r="1016" spans="1:18" x14ac:dyDescent="0.35">
      <c r="A1016" s="11" t="s">
        <v>82</v>
      </c>
      <c r="B1016" s="11" t="s">
        <v>2040</v>
      </c>
      <c r="C1016" s="11" t="s">
        <v>2041</v>
      </c>
      <c r="D1016" s="11" t="s">
        <v>374</v>
      </c>
      <c r="E1016" s="11" t="s">
        <v>375</v>
      </c>
      <c r="F1016" s="11" t="s">
        <v>376</v>
      </c>
      <c r="G1016" s="11" t="s">
        <v>79</v>
      </c>
      <c r="I1016" t="s">
        <v>2041</v>
      </c>
      <c r="K1016" t="s">
        <v>80</v>
      </c>
      <c r="L1016" t="s">
        <v>374</v>
      </c>
      <c r="M1016" t="s">
        <v>375</v>
      </c>
      <c r="N1016" t="s">
        <v>2459</v>
      </c>
      <c r="O1016" t="s">
        <v>2459</v>
      </c>
      <c r="P1016" t="s">
        <v>2259</v>
      </c>
      <c r="Q1016" t="e">
        <f t="shared" si="30"/>
        <v>#N/A</v>
      </c>
      <c r="R1016">
        <f t="shared" si="31"/>
        <v>1</v>
      </c>
    </row>
    <row r="1017" spans="1:18" x14ac:dyDescent="0.35">
      <c r="A1017" s="11" t="s">
        <v>82</v>
      </c>
      <c r="B1017" s="11" t="s">
        <v>2042</v>
      </c>
      <c r="C1017" s="11" t="s">
        <v>2043</v>
      </c>
      <c r="D1017" s="11" t="s">
        <v>374</v>
      </c>
      <c r="E1017" s="11" t="s">
        <v>375</v>
      </c>
      <c r="F1017" s="11" t="s">
        <v>376</v>
      </c>
      <c r="G1017" s="11" t="s">
        <v>79</v>
      </c>
      <c r="I1017" t="s">
        <v>2043</v>
      </c>
      <c r="K1017" t="s">
        <v>80</v>
      </c>
      <c r="L1017" t="s">
        <v>374</v>
      </c>
      <c r="M1017" t="s">
        <v>375</v>
      </c>
      <c r="N1017" t="s">
        <v>2459</v>
      </c>
      <c r="O1017" t="s">
        <v>2459</v>
      </c>
      <c r="P1017" t="s">
        <v>2259</v>
      </c>
      <c r="Q1017" t="e">
        <f t="shared" si="30"/>
        <v>#N/A</v>
      </c>
      <c r="R1017">
        <f t="shared" si="31"/>
        <v>1</v>
      </c>
    </row>
    <row r="1018" spans="1:18" x14ac:dyDescent="0.35">
      <c r="A1018" s="11" t="s">
        <v>82</v>
      </c>
      <c r="B1018" s="11" t="s">
        <v>2044</v>
      </c>
      <c r="C1018" s="11" t="s">
        <v>2045</v>
      </c>
      <c r="D1018" s="11" t="s">
        <v>374</v>
      </c>
      <c r="E1018" s="11" t="s">
        <v>375</v>
      </c>
      <c r="F1018" s="11" t="s">
        <v>376</v>
      </c>
      <c r="G1018" s="11" t="s">
        <v>79</v>
      </c>
      <c r="I1018" t="s">
        <v>2045</v>
      </c>
      <c r="K1018" t="s">
        <v>80</v>
      </c>
      <c r="L1018" t="s">
        <v>374</v>
      </c>
      <c r="M1018" t="s">
        <v>375</v>
      </c>
      <c r="N1018" t="s">
        <v>2459</v>
      </c>
      <c r="O1018" t="s">
        <v>2459</v>
      </c>
      <c r="P1018" t="s">
        <v>2259</v>
      </c>
      <c r="Q1018" t="e">
        <f t="shared" si="30"/>
        <v>#N/A</v>
      </c>
      <c r="R1018">
        <f t="shared" si="31"/>
        <v>1</v>
      </c>
    </row>
    <row r="1019" spans="1:18" x14ac:dyDescent="0.35">
      <c r="A1019" s="11" t="s">
        <v>82</v>
      </c>
      <c r="B1019" s="11" t="s">
        <v>2046</v>
      </c>
      <c r="C1019" s="11" t="s">
        <v>2047</v>
      </c>
      <c r="D1019" s="11" t="s">
        <v>374</v>
      </c>
      <c r="E1019" s="11" t="s">
        <v>375</v>
      </c>
      <c r="F1019" s="11" t="s">
        <v>376</v>
      </c>
      <c r="G1019" s="11" t="s">
        <v>79</v>
      </c>
      <c r="I1019" t="s">
        <v>2047</v>
      </c>
      <c r="K1019" t="s">
        <v>80</v>
      </c>
      <c r="L1019" t="s">
        <v>374</v>
      </c>
      <c r="M1019" t="s">
        <v>375</v>
      </c>
      <c r="N1019" t="s">
        <v>2459</v>
      </c>
      <c r="O1019" t="s">
        <v>2459</v>
      </c>
      <c r="P1019" t="s">
        <v>2259</v>
      </c>
      <c r="Q1019" t="e">
        <f t="shared" si="30"/>
        <v>#N/A</v>
      </c>
      <c r="R1019">
        <f t="shared" si="31"/>
        <v>1</v>
      </c>
    </row>
    <row r="1020" spans="1:18" x14ac:dyDescent="0.35">
      <c r="A1020" s="11" t="s">
        <v>82</v>
      </c>
      <c r="B1020" s="11" t="s">
        <v>2048</v>
      </c>
      <c r="C1020" s="11" t="s">
        <v>2049</v>
      </c>
      <c r="D1020" s="11" t="s">
        <v>374</v>
      </c>
      <c r="E1020" s="11" t="s">
        <v>375</v>
      </c>
      <c r="F1020" s="11" t="s">
        <v>376</v>
      </c>
      <c r="G1020" s="11" t="s">
        <v>79</v>
      </c>
      <c r="I1020" t="s">
        <v>2049</v>
      </c>
      <c r="K1020" t="s">
        <v>80</v>
      </c>
      <c r="L1020" t="s">
        <v>374</v>
      </c>
      <c r="M1020" t="s">
        <v>375</v>
      </c>
      <c r="N1020" t="s">
        <v>2459</v>
      </c>
      <c r="O1020" t="s">
        <v>2459</v>
      </c>
      <c r="P1020" t="s">
        <v>2259</v>
      </c>
      <c r="Q1020" t="e">
        <f t="shared" si="30"/>
        <v>#N/A</v>
      </c>
      <c r="R1020">
        <f t="shared" si="31"/>
        <v>1</v>
      </c>
    </row>
    <row r="1021" spans="1:18" x14ac:dyDescent="0.35">
      <c r="A1021" s="11" t="s">
        <v>82</v>
      </c>
      <c r="B1021" s="11" t="s">
        <v>2050</v>
      </c>
      <c r="C1021" s="11" t="s">
        <v>2051</v>
      </c>
      <c r="D1021" s="11" t="s">
        <v>374</v>
      </c>
      <c r="E1021" s="11" t="s">
        <v>375</v>
      </c>
      <c r="F1021" s="11" t="s">
        <v>376</v>
      </c>
      <c r="G1021" s="11" t="s">
        <v>79</v>
      </c>
      <c r="I1021" t="s">
        <v>2051</v>
      </c>
      <c r="K1021" t="s">
        <v>80</v>
      </c>
      <c r="L1021" t="s">
        <v>374</v>
      </c>
      <c r="M1021" t="s">
        <v>375</v>
      </c>
      <c r="N1021" t="s">
        <v>2459</v>
      </c>
      <c r="O1021" t="s">
        <v>2459</v>
      </c>
      <c r="P1021" t="s">
        <v>2259</v>
      </c>
      <c r="Q1021" t="e">
        <f t="shared" si="30"/>
        <v>#N/A</v>
      </c>
      <c r="R1021">
        <f t="shared" si="31"/>
        <v>1</v>
      </c>
    </row>
    <row r="1022" spans="1:18" x14ac:dyDescent="0.35">
      <c r="A1022" s="11" t="s">
        <v>82</v>
      </c>
      <c r="B1022" s="11" t="s">
        <v>2052</v>
      </c>
      <c r="C1022" s="11" t="s">
        <v>2053</v>
      </c>
      <c r="D1022" s="11" t="s">
        <v>374</v>
      </c>
      <c r="E1022" s="11" t="s">
        <v>375</v>
      </c>
      <c r="F1022" s="11" t="s">
        <v>376</v>
      </c>
      <c r="G1022" s="11" t="s">
        <v>79</v>
      </c>
      <c r="I1022" t="s">
        <v>2053</v>
      </c>
      <c r="K1022" t="s">
        <v>80</v>
      </c>
      <c r="L1022" t="s">
        <v>374</v>
      </c>
      <c r="M1022" t="s">
        <v>375</v>
      </c>
      <c r="N1022" t="s">
        <v>2459</v>
      </c>
      <c r="O1022" t="s">
        <v>2459</v>
      </c>
      <c r="P1022" t="s">
        <v>2259</v>
      </c>
      <c r="Q1022" t="e">
        <f t="shared" si="30"/>
        <v>#N/A</v>
      </c>
      <c r="R1022">
        <f t="shared" si="31"/>
        <v>1</v>
      </c>
    </row>
    <row r="1023" spans="1:18" x14ac:dyDescent="0.35">
      <c r="A1023" s="11" t="s">
        <v>82</v>
      </c>
      <c r="B1023" s="11" t="s">
        <v>2054</v>
      </c>
      <c r="C1023" s="11" t="s">
        <v>2055</v>
      </c>
      <c r="D1023" s="11" t="s">
        <v>374</v>
      </c>
      <c r="E1023" s="11" t="s">
        <v>375</v>
      </c>
      <c r="F1023" s="11" t="s">
        <v>376</v>
      </c>
      <c r="G1023" s="11" t="s">
        <v>79</v>
      </c>
      <c r="I1023" t="s">
        <v>2055</v>
      </c>
      <c r="K1023" t="s">
        <v>80</v>
      </c>
      <c r="L1023" t="s">
        <v>374</v>
      </c>
      <c r="M1023" t="s">
        <v>375</v>
      </c>
      <c r="N1023" t="s">
        <v>2459</v>
      </c>
      <c r="O1023" t="s">
        <v>2459</v>
      </c>
      <c r="P1023" t="s">
        <v>2259</v>
      </c>
      <c r="Q1023" t="e">
        <f t="shared" si="30"/>
        <v>#N/A</v>
      </c>
      <c r="R1023">
        <f t="shared" si="31"/>
        <v>1</v>
      </c>
    </row>
    <row r="1024" spans="1:18" x14ac:dyDescent="0.35">
      <c r="A1024" s="11" t="s">
        <v>82</v>
      </c>
      <c r="B1024" s="11" t="s">
        <v>2056</v>
      </c>
      <c r="C1024" s="11" t="s">
        <v>2057</v>
      </c>
      <c r="D1024" s="11" t="s">
        <v>374</v>
      </c>
      <c r="E1024" s="11" t="s">
        <v>375</v>
      </c>
      <c r="F1024" s="11" t="s">
        <v>378</v>
      </c>
      <c r="G1024" s="11" t="s">
        <v>379</v>
      </c>
      <c r="I1024" t="s">
        <v>2057</v>
      </c>
      <c r="K1024" t="s">
        <v>379</v>
      </c>
      <c r="L1024" t="s">
        <v>374</v>
      </c>
      <c r="M1024" t="s">
        <v>375</v>
      </c>
      <c r="N1024" t="s">
        <v>2459</v>
      </c>
      <c r="O1024" t="s">
        <v>2459</v>
      </c>
      <c r="Q1024">
        <f t="shared" si="30"/>
        <v>1</v>
      </c>
      <c r="R1024">
        <f t="shared" si="31"/>
        <v>1</v>
      </c>
    </row>
    <row r="1025" spans="1:18" x14ac:dyDescent="0.35">
      <c r="A1025" s="11" t="s">
        <v>82</v>
      </c>
      <c r="B1025" s="11" t="s">
        <v>2058</v>
      </c>
      <c r="C1025" s="11" t="s">
        <v>379</v>
      </c>
      <c r="D1025" s="11" t="s">
        <v>374</v>
      </c>
      <c r="E1025" s="11" t="s">
        <v>375</v>
      </c>
      <c r="F1025" s="11" t="s">
        <v>378</v>
      </c>
      <c r="G1025" s="11" t="s">
        <v>379</v>
      </c>
      <c r="I1025" t="s">
        <v>379</v>
      </c>
      <c r="K1025" t="s">
        <v>379</v>
      </c>
      <c r="L1025" t="s">
        <v>374</v>
      </c>
      <c r="M1025" t="s">
        <v>375</v>
      </c>
      <c r="N1025" t="s">
        <v>2459</v>
      </c>
      <c r="O1025" t="s">
        <v>2459</v>
      </c>
      <c r="Q1025">
        <f t="shared" si="30"/>
        <v>1</v>
      </c>
      <c r="R1025">
        <f t="shared" si="31"/>
        <v>1</v>
      </c>
    </row>
    <row r="1026" spans="1:18" x14ac:dyDescent="0.35">
      <c r="A1026" s="11" t="s">
        <v>82</v>
      </c>
      <c r="B1026" s="11" t="s">
        <v>2059</v>
      </c>
      <c r="C1026" s="11" t="s">
        <v>2060</v>
      </c>
      <c r="D1026" s="11" t="s">
        <v>374</v>
      </c>
      <c r="E1026" s="11" t="s">
        <v>375</v>
      </c>
      <c r="F1026" s="11" t="s">
        <v>378</v>
      </c>
      <c r="G1026" s="11" t="s">
        <v>379</v>
      </c>
      <c r="I1026" t="s">
        <v>2060</v>
      </c>
      <c r="K1026" t="s">
        <v>379</v>
      </c>
      <c r="L1026" t="s">
        <v>374</v>
      </c>
      <c r="M1026" t="s">
        <v>375</v>
      </c>
      <c r="N1026" t="s">
        <v>2459</v>
      </c>
      <c r="O1026" t="s">
        <v>2459</v>
      </c>
      <c r="Q1026">
        <f t="shared" si="30"/>
        <v>1</v>
      </c>
      <c r="R1026">
        <f t="shared" si="31"/>
        <v>1</v>
      </c>
    </row>
    <row r="1027" spans="1:18" x14ac:dyDescent="0.35">
      <c r="A1027" s="11" t="s">
        <v>82</v>
      </c>
      <c r="B1027" s="11" t="s">
        <v>2061</v>
      </c>
      <c r="C1027" s="11" t="s">
        <v>375</v>
      </c>
      <c r="D1027" s="11" t="s">
        <v>374</v>
      </c>
      <c r="E1027" s="11" t="s">
        <v>375</v>
      </c>
      <c r="F1027" s="11" t="s">
        <v>378</v>
      </c>
      <c r="G1027" s="11" t="s">
        <v>379</v>
      </c>
      <c r="I1027" t="s">
        <v>375</v>
      </c>
      <c r="K1027" t="s">
        <v>379</v>
      </c>
      <c r="L1027" t="s">
        <v>374</v>
      </c>
      <c r="M1027" t="s">
        <v>375</v>
      </c>
      <c r="N1027" t="s">
        <v>2459</v>
      </c>
      <c r="O1027" t="s">
        <v>2459</v>
      </c>
      <c r="Q1027">
        <f t="shared" si="30"/>
        <v>1</v>
      </c>
      <c r="R1027">
        <f t="shared" si="31"/>
        <v>1</v>
      </c>
    </row>
    <row r="1028" spans="1:18" x14ac:dyDescent="0.35">
      <c r="A1028" s="11" t="s">
        <v>82</v>
      </c>
      <c r="B1028" s="11" t="s">
        <v>2062</v>
      </c>
      <c r="C1028" s="11" t="s">
        <v>2063</v>
      </c>
      <c r="D1028" s="11" t="s">
        <v>374</v>
      </c>
      <c r="E1028" s="11" t="s">
        <v>375</v>
      </c>
      <c r="F1028" s="11" t="s">
        <v>378</v>
      </c>
      <c r="G1028" s="11" t="s">
        <v>379</v>
      </c>
      <c r="I1028" t="s">
        <v>2063</v>
      </c>
      <c r="K1028" t="s">
        <v>379</v>
      </c>
      <c r="L1028" t="s">
        <v>374</v>
      </c>
      <c r="M1028" t="s">
        <v>375</v>
      </c>
      <c r="N1028" t="s">
        <v>2459</v>
      </c>
      <c r="O1028" t="s">
        <v>2459</v>
      </c>
      <c r="Q1028">
        <f t="shared" ref="Q1028:Q1045" si="32">MATCH(G1028,K1028,0)</f>
        <v>1</v>
      </c>
      <c r="R1028">
        <f t="shared" ref="R1028:R1045" si="33">MATCH(E1028,M1028,0)</f>
        <v>1</v>
      </c>
    </row>
    <row r="1029" spans="1:18" x14ac:dyDescent="0.35">
      <c r="A1029" s="11" t="s">
        <v>82</v>
      </c>
      <c r="B1029" s="11" t="s">
        <v>2064</v>
      </c>
      <c r="C1029" s="11" t="s">
        <v>2065</v>
      </c>
      <c r="D1029" s="11" t="s">
        <v>374</v>
      </c>
      <c r="E1029" s="11" t="s">
        <v>375</v>
      </c>
      <c r="F1029" s="11" t="s">
        <v>378</v>
      </c>
      <c r="G1029" s="11" t="s">
        <v>379</v>
      </c>
      <c r="I1029" t="s">
        <v>2065</v>
      </c>
      <c r="K1029" t="s">
        <v>379</v>
      </c>
      <c r="L1029" t="s">
        <v>374</v>
      </c>
      <c r="M1029" t="s">
        <v>375</v>
      </c>
      <c r="N1029" t="s">
        <v>2459</v>
      </c>
      <c r="O1029" t="s">
        <v>2459</v>
      </c>
      <c r="Q1029">
        <f t="shared" si="32"/>
        <v>1</v>
      </c>
      <c r="R1029">
        <f t="shared" si="33"/>
        <v>1</v>
      </c>
    </row>
    <row r="1030" spans="1:18" x14ac:dyDescent="0.35">
      <c r="A1030" s="11" t="s">
        <v>82</v>
      </c>
      <c r="B1030" s="11" t="s">
        <v>2066</v>
      </c>
      <c r="C1030" s="11" t="s">
        <v>2067</v>
      </c>
      <c r="D1030" s="11" t="s">
        <v>374</v>
      </c>
      <c r="E1030" s="11" t="s">
        <v>375</v>
      </c>
      <c r="F1030" s="11" t="s">
        <v>378</v>
      </c>
      <c r="G1030" s="11" t="s">
        <v>379</v>
      </c>
      <c r="I1030" t="s">
        <v>2067</v>
      </c>
      <c r="K1030" t="s">
        <v>379</v>
      </c>
      <c r="L1030" t="s">
        <v>374</v>
      </c>
      <c r="M1030" t="s">
        <v>375</v>
      </c>
      <c r="N1030" t="s">
        <v>2459</v>
      </c>
      <c r="O1030" t="s">
        <v>2459</v>
      </c>
      <c r="Q1030">
        <f t="shared" si="32"/>
        <v>1</v>
      </c>
      <c r="R1030">
        <f t="shared" si="33"/>
        <v>1</v>
      </c>
    </row>
    <row r="1031" spans="1:18" x14ac:dyDescent="0.35">
      <c r="A1031" s="11" t="s">
        <v>82</v>
      </c>
      <c r="B1031" s="11" t="s">
        <v>2068</v>
      </c>
      <c r="C1031" s="11" t="s">
        <v>2069</v>
      </c>
      <c r="D1031" s="11" t="s">
        <v>374</v>
      </c>
      <c r="E1031" s="11" t="s">
        <v>375</v>
      </c>
      <c r="F1031" s="11" t="s">
        <v>378</v>
      </c>
      <c r="G1031" s="11" t="s">
        <v>379</v>
      </c>
      <c r="I1031" t="s">
        <v>2069</v>
      </c>
      <c r="K1031" t="s">
        <v>379</v>
      </c>
      <c r="L1031" t="s">
        <v>374</v>
      </c>
      <c r="M1031" t="s">
        <v>375</v>
      </c>
      <c r="N1031" t="s">
        <v>2459</v>
      </c>
      <c r="O1031" t="s">
        <v>2459</v>
      </c>
      <c r="Q1031">
        <f t="shared" si="32"/>
        <v>1</v>
      </c>
      <c r="R1031">
        <f t="shared" si="33"/>
        <v>1</v>
      </c>
    </row>
    <row r="1032" spans="1:18" x14ac:dyDescent="0.35">
      <c r="A1032" s="11" t="s">
        <v>82</v>
      </c>
      <c r="B1032" s="11" t="s">
        <v>2070</v>
      </c>
      <c r="C1032" s="11" t="s">
        <v>2071</v>
      </c>
      <c r="D1032" s="11" t="s">
        <v>374</v>
      </c>
      <c r="E1032" s="11" t="s">
        <v>375</v>
      </c>
      <c r="F1032" s="11" t="s">
        <v>378</v>
      </c>
      <c r="G1032" s="11" t="s">
        <v>379</v>
      </c>
      <c r="I1032" t="s">
        <v>2071</v>
      </c>
      <c r="K1032" t="s">
        <v>379</v>
      </c>
      <c r="L1032" t="s">
        <v>374</v>
      </c>
      <c r="M1032" t="s">
        <v>375</v>
      </c>
      <c r="N1032" t="s">
        <v>2459</v>
      </c>
      <c r="O1032" t="s">
        <v>2459</v>
      </c>
      <c r="Q1032">
        <f t="shared" si="32"/>
        <v>1</v>
      </c>
      <c r="R1032">
        <f t="shared" si="33"/>
        <v>1</v>
      </c>
    </row>
    <row r="1033" spans="1:18" x14ac:dyDescent="0.35">
      <c r="A1033" s="11" t="s">
        <v>82</v>
      </c>
      <c r="B1033" s="11" t="s">
        <v>2072</v>
      </c>
      <c r="C1033" s="11" t="s">
        <v>2073</v>
      </c>
      <c r="D1033" s="11" t="s">
        <v>374</v>
      </c>
      <c r="E1033" s="11" t="s">
        <v>375</v>
      </c>
      <c r="F1033" s="11" t="s">
        <v>378</v>
      </c>
      <c r="G1033" s="11" t="s">
        <v>379</v>
      </c>
      <c r="I1033" t="s">
        <v>2073</v>
      </c>
      <c r="K1033" t="s">
        <v>379</v>
      </c>
      <c r="L1033" t="s">
        <v>374</v>
      </c>
      <c r="M1033" t="s">
        <v>375</v>
      </c>
      <c r="N1033" t="s">
        <v>2459</v>
      </c>
      <c r="O1033" t="s">
        <v>2459</v>
      </c>
      <c r="Q1033">
        <f t="shared" si="32"/>
        <v>1</v>
      </c>
      <c r="R1033">
        <f t="shared" si="33"/>
        <v>1</v>
      </c>
    </row>
    <row r="1034" spans="1:18" x14ac:dyDescent="0.35">
      <c r="A1034" s="11" t="s">
        <v>82</v>
      </c>
      <c r="B1034" s="11" t="s">
        <v>2074</v>
      </c>
      <c r="C1034" s="11" t="s">
        <v>2075</v>
      </c>
      <c r="D1034" s="11" t="s">
        <v>374</v>
      </c>
      <c r="E1034" s="11" t="s">
        <v>375</v>
      </c>
      <c r="F1034" s="11" t="s">
        <v>378</v>
      </c>
      <c r="G1034" s="11" t="s">
        <v>379</v>
      </c>
      <c r="I1034" t="s">
        <v>2075</v>
      </c>
      <c r="K1034" t="s">
        <v>379</v>
      </c>
      <c r="L1034" t="s">
        <v>374</v>
      </c>
      <c r="M1034" t="s">
        <v>375</v>
      </c>
      <c r="N1034" t="s">
        <v>2459</v>
      </c>
      <c r="O1034" t="s">
        <v>2459</v>
      </c>
      <c r="Q1034">
        <f t="shared" si="32"/>
        <v>1</v>
      </c>
      <c r="R1034">
        <f t="shared" si="33"/>
        <v>1</v>
      </c>
    </row>
    <row r="1035" spans="1:18" x14ac:dyDescent="0.35">
      <c r="A1035" s="11" t="s">
        <v>82</v>
      </c>
      <c r="B1035" s="11" t="s">
        <v>2076</v>
      </c>
      <c r="C1035" s="11" t="s">
        <v>2077</v>
      </c>
      <c r="D1035" s="11" t="s">
        <v>374</v>
      </c>
      <c r="E1035" s="11" t="s">
        <v>375</v>
      </c>
      <c r="F1035" s="11" t="s">
        <v>378</v>
      </c>
      <c r="G1035" s="11" t="s">
        <v>379</v>
      </c>
      <c r="I1035" t="s">
        <v>2077</v>
      </c>
      <c r="K1035" t="s">
        <v>379</v>
      </c>
      <c r="L1035" t="s">
        <v>374</v>
      </c>
      <c r="M1035" t="s">
        <v>375</v>
      </c>
      <c r="N1035" t="s">
        <v>2459</v>
      </c>
      <c r="O1035" t="s">
        <v>2459</v>
      </c>
      <c r="Q1035">
        <f t="shared" si="32"/>
        <v>1</v>
      </c>
      <c r="R1035">
        <f t="shared" si="33"/>
        <v>1</v>
      </c>
    </row>
    <row r="1036" spans="1:18" x14ac:dyDescent="0.35">
      <c r="A1036" s="11" t="s">
        <v>82</v>
      </c>
      <c r="B1036" s="11" t="s">
        <v>2078</v>
      </c>
      <c r="C1036" s="11" t="s">
        <v>2079</v>
      </c>
      <c r="D1036" s="11" t="s">
        <v>374</v>
      </c>
      <c r="E1036" s="11" t="s">
        <v>375</v>
      </c>
      <c r="F1036" s="11" t="s">
        <v>378</v>
      </c>
      <c r="G1036" s="11" t="s">
        <v>379</v>
      </c>
      <c r="I1036" t="s">
        <v>2079</v>
      </c>
      <c r="K1036" t="s">
        <v>379</v>
      </c>
      <c r="L1036" t="s">
        <v>374</v>
      </c>
      <c r="M1036" t="s">
        <v>375</v>
      </c>
      <c r="N1036" t="s">
        <v>2459</v>
      </c>
      <c r="O1036" t="s">
        <v>2459</v>
      </c>
      <c r="Q1036">
        <f t="shared" si="32"/>
        <v>1</v>
      </c>
      <c r="R1036">
        <f t="shared" si="33"/>
        <v>1</v>
      </c>
    </row>
    <row r="1037" spans="1:18" x14ac:dyDescent="0.35">
      <c r="A1037" s="11" t="s">
        <v>82</v>
      </c>
      <c r="B1037" s="11" t="s">
        <v>2080</v>
      </c>
      <c r="C1037" s="11" t="s">
        <v>2081</v>
      </c>
      <c r="D1037" s="11" t="s">
        <v>374</v>
      </c>
      <c r="E1037" s="11" t="s">
        <v>375</v>
      </c>
      <c r="F1037" s="11" t="s">
        <v>378</v>
      </c>
      <c r="G1037" s="11" t="s">
        <v>379</v>
      </c>
      <c r="I1037" t="s">
        <v>2081</v>
      </c>
      <c r="K1037" t="s">
        <v>379</v>
      </c>
      <c r="L1037" t="s">
        <v>374</v>
      </c>
      <c r="M1037" t="s">
        <v>375</v>
      </c>
      <c r="N1037" t="s">
        <v>2459</v>
      </c>
      <c r="O1037" t="s">
        <v>2459</v>
      </c>
      <c r="Q1037">
        <f t="shared" si="32"/>
        <v>1</v>
      </c>
      <c r="R1037">
        <f t="shared" si="33"/>
        <v>1</v>
      </c>
    </row>
    <row r="1038" spans="1:18" x14ac:dyDescent="0.35">
      <c r="A1038" s="11" t="s">
        <v>82</v>
      </c>
      <c r="B1038" s="11" t="s">
        <v>2082</v>
      </c>
      <c r="C1038" s="11" t="s">
        <v>2083</v>
      </c>
      <c r="D1038" s="11" t="s">
        <v>374</v>
      </c>
      <c r="E1038" s="11" t="s">
        <v>375</v>
      </c>
      <c r="F1038" s="11" t="s">
        <v>378</v>
      </c>
      <c r="G1038" s="11" t="s">
        <v>379</v>
      </c>
      <c r="I1038" t="s">
        <v>2083</v>
      </c>
      <c r="K1038" t="s">
        <v>379</v>
      </c>
      <c r="L1038" t="s">
        <v>374</v>
      </c>
      <c r="M1038" t="s">
        <v>375</v>
      </c>
      <c r="N1038" t="s">
        <v>2459</v>
      </c>
      <c r="O1038" t="s">
        <v>2459</v>
      </c>
      <c r="Q1038">
        <f t="shared" si="32"/>
        <v>1</v>
      </c>
      <c r="R1038">
        <f t="shared" si="33"/>
        <v>1</v>
      </c>
    </row>
    <row r="1039" spans="1:18" x14ac:dyDescent="0.35">
      <c r="A1039" s="11" t="s">
        <v>82</v>
      </c>
      <c r="B1039" s="11" t="s">
        <v>2084</v>
      </c>
      <c r="C1039" s="11" t="s">
        <v>2085</v>
      </c>
      <c r="D1039" s="11" t="s">
        <v>374</v>
      </c>
      <c r="E1039" s="11" t="s">
        <v>375</v>
      </c>
      <c r="F1039" s="11" t="s">
        <v>378</v>
      </c>
      <c r="G1039" s="11" t="s">
        <v>379</v>
      </c>
      <c r="I1039" t="s">
        <v>2085</v>
      </c>
      <c r="K1039" t="s">
        <v>379</v>
      </c>
      <c r="L1039" t="s">
        <v>374</v>
      </c>
      <c r="M1039" t="s">
        <v>375</v>
      </c>
      <c r="N1039" t="s">
        <v>2459</v>
      </c>
      <c r="O1039" t="s">
        <v>2459</v>
      </c>
      <c r="Q1039">
        <f t="shared" si="32"/>
        <v>1</v>
      </c>
      <c r="R1039">
        <f t="shared" si="33"/>
        <v>1</v>
      </c>
    </row>
    <row r="1040" spans="1:18" x14ac:dyDescent="0.35">
      <c r="A1040" s="11" t="s">
        <v>82</v>
      </c>
      <c r="B1040" s="11" t="s">
        <v>2086</v>
      </c>
      <c r="C1040" s="11" t="s">
        <v>2087</v>
      </c>
      <c r="D1040" s="11" t="s">
        <v>374</v>
      </c>
      <c r="E1040" s="11" t="s">
        <v>375</v>
      </c>
      <c r="F1040" s="11" t="s">
        <v>378</v>
      </c>
      <c r="G1040" s="11" t="s">
        <v>379</v>
      </c>
      <c r="I1040" t="s">
        <v>2087</v>
      </c>
      <c r="K1040" t="s">
        <v>379</v>
      </c>
      <c r="L1040" t="s">
        <v>374</v>
      </c>
      <c r="M1040" t="s">
        <v>375</v>
      </c>
      <c r="N1040" t="s">
        <v>2459</v>
      </c>
      <c r="O1040" t="s">
        <v>2459</v>
      </c>
      <c r="Q1040">
        <f t="shared" si="32"/>
        <v>1</v>
      </c>
      <c r="R1040">
        <f t="shared" si="33"/>
        <v>1</v>
      </c>
    </row>
    <row r="1041" spans="1:18" x14ac:dyDescent="0.35">
      <c r="A1041" s="11" t="s">
        <v>82</v>
      </c>
      <c r="B1041" s="11" t="s">
        <v>2088</v>
      </c>
      <c r="C1041" s="11" t="s">
        <v>2089</v>
      </c>
      <c r="D1041" s="11" t="s">
        <v>374</v>
      </c>
      <c r="E1041" s="11" t="s">
        <v>375</v>
      </c>
      <c r="F1041" s="11" t="s">
        <v>378</v>
      </c>
      <c r="G1041" s="11" t="s">
        <v>379</v>
      </c>
      <c r="I1041" t="s">
        <v>2089</v>
      </c>
      <c r="K1041" t="s">
        <v>379</v>
      </c>
      <c r="L1041" t="s">
        <v>374</v>
      </c>
      <c r="M1041" t="s">
        <v>375</v>
      </c>
      <c r="N1041" t="s">
        <v>2459</v>
      </c>
      <c r="O1041" t="s">
        <v>2459</v>
      </c>
      <c r="Q1041">
        <f t="shared" si="32"/>
        <v>1</v>
      </c>
      <c r="R1041">
        <f t="shared" si="33"/>
        <v>1</v>
      </c>
    </row>
    <row r="1042" spans="1:18" x14ac:dyDescent="0.35">
      <c r="A1042" s="11" t="s">
        <v>82</v>
      </c>
      <c r="B1042" s="11" t="s">
        <v>2090</v>
      </c>
      <c r="C1042" s="11" t="s">
        <v>2091</v>
      </c>
      <c r="D1042" s="11" t="s">
        <v>374</v>
      </c>
      <c r="E1042" s="11" t="s">
        <v>375</v>
      </c>
      <c r="F1042" s="11" t="s">
        <v>378</v>
      </c>
      <c r="G1042" s="11" t="s">
        <v>379</v>
      </c>
      <c r="I1042" t="s">
        <v>2091</v>
      </c>
      <c r="K1042" t="s">
        <v>379</v>
      </c>
      <c r="L1042" t="s">
        <v>374</v>
      </c>
      <c r="M1042" t="s">
        <v>375</v>
      </c>
      <c r="N1042" t="s">
        <v>2459</v>
      </c>
      <c r="O1042" t="s">
        <v>2459</v>
      </c>
      <c r="Q1042">
        <f t="shared" si="32"/>
        <v>1</v>
      </c>
      <c r="R1042">
        <f t="shared" si="33"/>
        <v>1</v>
      </c>
    </row>
    <row r="1043" spans="1:18" x14ac:dyDescent="0.35">
      <c r="A1043" s="11" t="s">
        <v>82</v>
      </c>
      <c r="B1043" s="11" t="s">
        <v>2092</v>
      </c>
      <c r="C1043" s="11" t="s">
        <v>2093</v>
      </c>
      <c r="D1043" s="11" t="s">
        <v>374</v>
      </c>
      <c r="E1043" s="11" t="s">
        <v>375</v>
      </c>
      <c r="F1043" s="11" t="s">
        <v>378</v>
      </c>
      <c r="G1043" s="11" t="s">
        <v>379</v>
      </c>
      <c r="I1043" t="s">
        <v>2093</v>
      </c>
      <c r="K1043" t="s">
        <v>379</v>
      </c>
      <c r="L1043" t="s">
        <v>374</v>
      </c>
      <c r="M1043" t="s">
        <v>375</v>
      </c>
      <c r="N1043" t="s">
        <v>2459</v>
      </c>
      <c r="O1043" t="s">
        <v>2459</v>
      </c>
      <c r="Q1043">
        <f t="shared" si="32"/>
        <v>1</v>
      </c>
      <c r="R1043">
        <f t="shared" si="33"/>
        <v>1</v>
      </c>
    </row>
    <row r="1044" spans="1:18" x14ac:dyDescent="0.35">
      <c r="A1044" s="11" t="s">
        <v>82</v>
      </c>
      <c r="B1044" s="11" t="s">
        <v>2094</v>
      </c>
      <c r="C1044" s="11" t="s">
        <v>2095</v>
      </c>
      <c r="D1044" s="11" t="s">
        <v>374</v>
      </c>
      <c r="E1044" s="11" t="s">
        <v>375</v>
      </c>
      <c r="F1044" s="11" t="s">
        <v>378</v>
      </c>
      <c r="G1044" s="11" t="s">
        <v>379</v>
      </c>
      <c r="I1044" t="s">
        <v>2095</v>
      </c>
      <c r="K1044" t="s">
        <v>379</v>
      </c>
      <c r="L1044" t="s">
        <v>374</v>
      </c>
      <c r="M1044" t="s">
        <v>375</v>
      </c>
      <c r="N1044" t="s">
        <v>2459</v>
      </c>
      <c r="O1044" t="s">
        <v>2459</v>
      </c>
      <c r="Q1044">
        <f t="shared" si="32"/>
        <v>1</v>
      </c>
      <c r="R1044">
        <f t="shared" si="33"/>
        <v>1</v>
      </c>
    </row>
    <row r="1045" spans="1:18" x14ac:dyDescent="0.35">
      <c r="A1045" s="11" t="s">
        <v>82</v>
      </c>
      <c r="B1045" s="11" t="s">
        <v>2096</v>
      </c>
      <c r="C1045" s="11" t="s">
        <v>2097</v>
      </c>
      <c r="D1045" s="11" t="s">
        <v>374</v>
      </c>
      <c r="E1045" s="11" t="s">
        <v>375</v>
      </c>
      <c r="F1045" s="11" t="s">
        <v>378</v>
      </c>
      <c r="G1045" s="11" t="s">
        <v>379</v>
      </c>
      <c r="I1045" t="s">
        <v>2097</v>
      </c>
      <c r="K1045" t="s">
        <v>379</v>
      </c>
      <c r="L1045" t="s">
        <v>374</v>
      </c>
      <c r="M1045" t="s">
        <v>375</v>
      </c>
      <c r="N1045" t="s">
        <v>2459</v>
      </c>
      <c r="O1045" t="s">
        <v>2459</v>
      </c>
      <c r="Q1045">
        <f t="shared" si="32"/>
        <v>1</v>
      </c>
      <c r="R1045">
        <f t="shared" si="33"/>
        <v>1</v>
      </c>
    </row>
  </sheetData>
  <autoFilter ref="A1:R1045" xr:uid="{A48CAC62-0220-410E-AE02-62F4290F0D0F}"/>
  <phoneticPr fontId="3" type="noConversion"/>
  <conditionalFormatting sqref="I170:J170 I163:J167 I158:J158 I161:J161">
    <cfRule type="duplicateValues" dxfId="0" priority="16"/>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BDEA-947D-4D31-9E7C-B8C1D2204E7F}">
  <dimension ref="A1:AR132"/>
  <sheetViews>
    <sheetView zoomScale="55" zoomScaleNormal="55" workbookViewId="0">
      <pane ySplit="3" topLeftCell="A4" activePane="bottomLeft" state="frozen"/>
      <selection pane="bottomLeft" sqref="A1:Q1"/>
    </sheetView>
  </sheetViews>
  <sheetFormatPr defaultRowHeight="14.5" x14ac:dyDescent="0.35"/>
  <cols>
    <col min="1" max="1" width="16.90625" bestFit="1" customWidth="1"/>
    <col min="2" max="2" width="9.81640625" bestFit="1" customWidth="1"/>
    <col min="3" max="3" width="24.08984375" bestFit="1" customWidth="1"/>
    <col min="4" max="4" width="23.90625" bestFit="1" customWidth="1"/>
    <col min="5" max="5" width="28.81640625" bestFit="1" customWidth="1"/>
    <col min="6" max="6" width="28.7265625" bestFit="1" customWidth="1"/>
    <col min="7" max="7" width="12.1796875" bestFit="1" customWidth="1"/>
    <col min="8" max="8" width="13" bestFit="1" customWidth="1"/>
    <col min="9" max="9" width="12" bestFit="1" customWidth="1"/>
    <col min="10" max="11" width="12.81640625" bestFit="1" customWidth="1"/>
    <col min="12" max="12" width="16.81640625" bestFit="1" customWidth="1"/>
    <col min="13" max="13" width="15.26953125" bestFit="1" customWidth="1"/>
    <col min="14" max="14" width="15.08984375" bestFit="1" customWidth="1"/>
    <col min="15" max="15" width="12.6328125" bestFit="1" customWidth="1"/>
    <col min="16" max="17" width="23.26953125" bestFit="1" customWidth="1"/>
    <col min="18" max="18" width="44.36328125" bestFit="1" customWidth="1"/>
    <col min="19" max="19" width="53.26953125" bestFit="1" customWidth="1"/>
    <col min="20" max="20" width="34.6328125" bestFit="1" customWidth="1"/>
    <col min="21" max="21" width="39.90625" bestFit="1" customWidth="1"/>
    <col min="22" max="22" width="13" bestFit="1" customWidth="1"/>
    <col min="23" max="23" width="12" bestFit="1" customWidth="1"/>
    <col min="24" max="25" width="12.81640625" bestFit="1" customWidth="1"/>
    <col min="26" max="26" width="16.81640625" style="33" bestFit="1" customWidth="1"/>
    <col min="27" max="27" width="15.26953125" bestFit="1" customWidth="1"/>
    <col min="28" max="28" width="15.08984375" bestFit="1" customWidth="1"/>
    <col min="29" max="29" width="12.6328125" bestFit="1" customWidth="1"/>
    <col min="30" max="31" width="24.54296875" bestFit="1" customWidth="1"/>
    <col min="32" max="32" width="14" bestFit="1" customWidth="1"/>
    <col min="33" max="33" width="18.7265625" bestFit="1" customWidth="1"/>
    <col min="34" max="34" width="9.1796875" bestFit="1" customWidth="1"/>
    <col min="35" max="35" width="8.1796875" bestFit="1" customWidth="1"/>
    <col min="36" max="36" width="9" bestFit="1" customWidth="1"/>
    <col min="37" max="37" width="9.1796875" bestFit="1" customWidth="1"/>
    <col min="38" max="38" width="13.453125" bestFit="1" customWidth="1"/>
    <col min="39" max="39" width="11.453125" bestFit="1" customWidth="1"/>
    <col min="40" max="40" width="11.36328125" bestFit="1" customWidth="1"/>
    <col min="41" max="41" width="9" bestFit="1" customWidth="1"/>
    <col min="42" max="43" width="19.453125" bestFit="1" customWidth="1"/>
    <col min="44" max="44" width="20.7265625" bestFit="1" customWidth="1"/>
    <col min="45" max="46" width="31.54296875" bestFit="1" customWidth="1"/>
    <col min="47" max="47" width="33.08984375" bestFit="1" customWidth="1"/>
  </cols>
  <sheetData>
    <row r="1" spans="1:44" x14ac:dyDescent="0.35">
      <c r="A1" s="51" t="s">
        <v>2490</v>
      </c>
      <c r="B1" s="51"/>
      <c r="C1" s="51"/>
      <c r="D1" s="51"/>
      <c r="E1" s="51"/>
      <c r="F1" s="51"/>
      <c r="G1" s="51"/>
      <c r="H1" s="51"/>
      <c r="I1" s="51"/>
      <c r="J1" s="51"/>
      <c r="K1" s="51"/>
      <c r="L1" s="51"/>
      <c r="M1" s="51"/>
      <c r="N1" s="51"/>
      <c r="O1" s="51"/>
      <c r="P1" s="51"/>
      <c r="Q1" s="51"/>
      <c r="R1" s="52" t="s">
        <v>2486</v>
      </c>
      <c r="S1" s="52"/>
      <c r="T1" s="52"/>
      <c r="U1" s="52"/>
      <c r="V1" s="52"/>
      <c r="W1" s="52"/>
      <c r="X1" s="52"/>
      <c r="Y1" s="52"/>
      <c r="Z1" s="52"/>
      <c r="AA1" s="52"/>
      <c r="AB1" s="52"/>
      <c r="AC1" s="52"/>
      <c r="AD1" s="52"/>
      <c r="AE1" s="52"/>
    </row>
    <row r="2" spans="1:44" x14ac:dyDescent="0.35">
      <c r="A2" s="8" t="s">
        <v>394</v>
      </c>
      <c r="B2" s="8" t="s">
        <v>395</v>
      </c>
      <c r="C2" s="8" t="s">
        <v>396</v>
      </c>
      <c r="D2" s="8" t="s">
        <v>397</v>
      </c>
      <c r="E2" s="8" t="s">
        <v>398</v>
      </c>
      <c r="F2" s="8" t="s">
        <v>399</v>
      </c>
      <c r="G2" s="8" t="s">
        <v>2463</v>
      </c>
      <c r="H2" s="8" t="s">
        <v>2310</v>
      </c>
      <c r="I2" s="8" t="s">
        <v>2311</v>
      </c>
      <c r="J2" s="8" t="s">
        <v>2313</v>
      </c>
      <c r="K2" s="8" t="s">
        <v>2314</v>
      </c>
      <c r="L2" s="8" t="s">
        <v>2315</v>
      </c>
      <c r="M2" s="8" t="s">
        <v>2316</v>
      </c>
      <c r="N2" s="8" t="s">
        <v>2317</v>
      </c>
      <c r="O2" s="8" t="s">
        <v>2318</v>
      </c>
      <c r="P2" s="8" t="s">
        <v>2319</v>
      </c>
      <c r="Q2" s="8" t="s">
        <v>2320</v>
      </c>
      <c r="R2" s="8" t="s">
        <v>391</v>
      </c>
      <c r="S2" s="8" t="s">
        <v>393</v>
      </c>
      <c r="T2" s="18" t="s">
        <v>2328</v>
      </c>
      <c r="U2" s="8" t="s">
        <v>2487</v>
      </c>
      <c r="V2" s="8" t="s">
        <v>2310</v>
      </c>
      <c r="W2" s="8" t="s">
        <v>2311</v>
      </c>
      <c r="X2" s="8" t="s">
        <v>2313</v>
      </c>
      <c r="Y2" s="8" t="s">
        <v>2314</v>
      </c>
      <c r="Z2" s="21" t="s">
        <v>2315</v>
      </c>
      <c r="AA2" s="8" t="s">
        <v>2316</v>
      </c>
      <c r="AB2" s="8" t="s">
        <v>2317</v>
      </c>
      <c r="AC2" s="8" t="s">
        <v>2318</v>
      </c>
      <c r="AD2" s="8" t="s">
        <v>2326</v>
      </c>
      <c r="AE2" s="8" t="s">
        <v>2327</v>
      </c>
      <c r="AF2" s="8"/>
      <c r="AG2" s="16" t="s">
        <v>2308</v>
      </c>
      <c r="AH2" t="s">
        <v>2310</v>
      </c>
      <c r="AI2" t="s">
        <v>2311</v>
      </c>
      <c r="AJ2" t="s">
        <v>2313</v>
      </c>
      <c r="AK2" t="s">
        <v>2314</v>
      </c>
      <c r="AL2" t="s">
        <v>2315</v>
      </c>
      <c r="AM2" t="s">
        <v>2316</v>
      </c>
      <c r="AN2" t="s">
        <v>2317</v>
      </c>
      <c r="AO2" t="s">
        <v>2318</v>
      </c>
      <c r="AP2" t="s">
        <v>2319</v>
      </c>
      <c r="AQ2" t="s">
        <v>2320</v>
      </c>
      <c r="AR2" t="s">
        <v>2321</v>
      </c>
    </row>
    <row r="3" spans="1:44" s="40" customFormat="1" x14ac:dyDescent="0.35">
      <c r="A3" s="42" t="s">
        <v>2437</v>
      </c>
      <c r="B3" s="42" t="s">
        <v>2438</v>
      </c>
      <c r="C3" s="42" t="s">
        <v>2426</v>
      </c>
      <c r="D3" s="42" t="s">
        <v>2427</v>
      </c>
      <c r="E3" s="42" t="s">
        <v>2443</v>
      </c>
      <c r="F3" s="42" t="s">
        <v>2444</v>
      </c>
      <c r="G3" s="42" t="s">
        <v>2462</v>
      </c>
      <c r="H3" s="42" t="s">
        <v>2464</v>
      </c>
      <c r="I3" s="42" t="s">
        <v>2465</v>
      </c>
      <c r="J3" s="42" t="s">
        <v>2466</v>
      </c>
      <c r="K3" s="42" t="s">
        <v>2467</v>
      </c>
      <c r="L3" s="42" t="s">
        <v>2468</v>
      </c>
      <c r="M3" s="42" t="s">
        <v>2469</v>
      </c>
      <c r="N3" s="42" t="s">
        <v>2470</v>
      </c>
      <c r="O3" s="42" t="s">
        <v>2471</v>
      </c>
      <c r="P3" s="42" t="s">
        <v>2472</v>
      </c>
      <c r="Q3" s="42" t="s">
        <v>2473</v>
      </c>
      <c r="R3" s="42" t="s">
        <v>2482</v>
      </c>
      <c r="S3" s="42" t="s">
        <v>2484</v>
      </c>
      <c r="T3" s="45" t="s">
        <v>2462</v>
      </c>
      <c r="U3" s="42" t="s">
        <v>2500</v>
      </c>
      <c r="V3" s="42" t="s">
        <v>2464</v>
      </c>
      <c r="W3" s="42" t="s">
        <v>2465</v>
      </c>
      <c r="X3" s="42" t="s">
        <v>2466</v>
      </c>
      <c r="Y3" s="42" t="s">
        <v>2467</v>
      </c>
      <c r="Z3" s="46" t="s">
        <v>2468</v>
      </c>
      <c r="AA3" s="42" t="s">
        <v>2469</v>
      </c>
      <c r="AB3" s="42" t="s">
        <v>2470</v>
      </c>
      <c r="AC3" s="42" t="s">
        <v>2471</v>
      </c>
      <c r="AD3" s="42" t="s">
        <v>2472</v>
      </c>
      <c r="AE3" s="42" t="s">
        <v>2473</v>
      </c>
      <c r="AF3" s="42"/>
      <c r="AG3" s="47" t="s">
        <v>83</v>
      </c>
    </row>
    <row r="4" spans="1:44" x14ac:dyDescent="0.35">
      <c r="A4" s="8" t="s">
        <v>81</v>
      </c>
      <c r="B4" s="8" t="s">
        <v>82</v>
      </c>
      <c r="C4" s="8" t="s">
        <v>83</v>
      </c>
      <c r="D4" s="8" t="s">
        <v>84</v>
      </c>
      <c r="E4" s="8" t="s">
        <v>85</v>
      </c>
      <c r="F4" s="8" t="s">
        <v>61</v>
      </c>
      <c r="G4" s="8" t="s">
        <v>2329</v>
      </c>
      <c r="H4" s="8">
        <v>3546</v>
      </c>
      <c r="I4" s="8">
        <v>324</v>
      </c>
      <c r="J4" s="9">
        <v>1939</v>
      </c>
      <c r="K4" s="9">
        <v>1464</v>
      </c>
      <c r="L4" s="9"/>
      <c r="M4" s="9">
        <v>216</v>
      </c>
      <c r="N4" s="9">
        <v>159</v>
      </c>
      <c r="O4" s="9"/>
      <c r="P4" s="9"/>
      <c r="Q4" s="9"/>
      <c r="R4" s="8" t="s">
        <v>62</v>
      </c>
      <c r="S4" s="8" t="s">
        <v>84</v>
      </c>
      <c r="T4" s="19" t="s">
        <v>2329</v>
      </c>
      <c r="U4" s="8" t="s">
        <v>2322</v>
      </c>
      <c r="V4">
        <v>3133</v>
      </c>
      <c r="W4">
        <v>283</v>
      </c>
      <c r="X4">
        <v>1690</v>
      </c>
      <c r="Y4">
        <v>1065</v>
      </c>
      <c r="Z4"/>
      <c r="AA4">
        <v>207</v>
      </c>
      <c r="AB4">
        <v>147</v>
      </c>
      <c r="AF4" s="8"/>
      <c r="AG4" s="15" t="s">
        <v>44</v>
      </c>
      <c r="AH4">
        <v>3051</v>
      </c>
      <c r="AI4">
        <v>724</v>
      </c>
      <c r="AJ4">
        <v>1670</v>
      </c>
      <c r="AK4">
        <v>1599</v>
      </c>
      <c r="AM4">
        <v>9</v>
      </c>
      <c r="AN4">
        <v>12</v>
      </c>
      <c r="AR4">
        <v>128</v>
      </c>
    </row>
    <row r="5" spans="1:44" x14ac:dyDescent="0.35">
      <c r="A5" s="8" t="s">
        <v>86</v>
      </c>
      <c r="B5" s="8" t="s">
        <v>82</v>
      </c>
      <c r="C5" s="8" t="s">
        <v>83</v>
      </c>
      <c r="D5" s="8" t="s">
        <v>84</v>
      </c>
      <c r="E5" s="8" t="s">
        <v>87</v>
      </c>
      <c r="F5" s="8" t="s">
        <v>63</v>
      </c>
      <c r="G5" s="8" t="s">
        <v>2330</v>
      </c>
      <c r="H5" s="8">
        <v>6147</v>
      </c>
      <c r="I5" s="8">
        <v>1338</v>
      </c>
      <c r="J5" s="9">
        <v>1948</v>
      </c>
      <c r="K5" s="9">
        <v>2095</v>
      </c>
      <c r="L5" s="9"/>
      <c r="M5" s="9"/>
      <c r="N5" s="9"/>
      <c r="O5" s="9"/>
      <c r="P5" s="9"/>
      <c r="Q5" s="9"/>
      <c r="R5" s="8" t="s">
        <v>64</v>
      </c>
      <c r="S5" s="8" t="s">
        <v>84</v>
      </c>
      <c r="T5" s="19" t="s">
        <v>2330</v>
      </c>
      <c r="U5" s="8" t="s">
        <v>2323</v>
      </c>
      <c r="V5">
        <v>3913</v>
      </c>
      <c r="W5">
        <v>672</v>
      </c>
      <c r="X5">
        <v>736</v>
      </c>
      <c r="Y5">
        <v>921</v>
      </c>
      <c r="Z5">
        <v>8</v>
      </c>
      <c r="AG5" s="15" t="s">
        <v>62</v>
      </c>
      <c r="AH5">
        <v>3133</v>
      </c>
      <c r="AI5">
        <v>283</v>
      </c>
      <c r="AJ5">
        <v>1690</v>
      </c>
      <c r="AK5">
        <v>1065</v>
      </c>
      <c r="AM5">
        <v>207</v>
      </c>
      <c r="AN5">
        <v>147</v>
      </c>
      <c r="AR5">
        <v>85</v>
      </c>
    </row>
    <row r="6" spans="1:44" x14ac:dyDescent="0.35">
      <c r="A6" s="8"/>
      <c r="B6" s="8"/>
      <c r="C6" s="8"/>
      <c r="D6" s="8"/>
      <c r="E6" s="8"/>
      <c r="F6" s="8"/>
      <c r="G6" s="8"/>
      <c r="H6" s="8"/>
      <c r="I6" s="8"/>
      <c r="J6" s="9"/>
      <c r="K6" s="9"/>
      <c r="L6" s="9"/>
      <c r="M6" s="9"/>
      <c r="N6" s="9"/>
      <c r="O6" s="9"/>
      <c r="P6" s="9"/>
      <c r="Q6" s="9"/>
      <c r="R6" s="8" t="s">
        <v>44</v>
      </c>
      <c r="S6" s="8" t="s">
        <v>84</v>
      </c>
      <c r="T6" s="19" t="s">
        <v>2330</v>
      </c>
      <c r="U6" s="8" t="s">
        <v>2323</v>
      </c>
      <c r="V6">
        <v>3051</v>
      </c>
      <c r="W6">
        <v>724</v>
      </c>
      <c r="X6">
        <v>1670</v>
      </c>
      <c r="Y6">
        <v>1599</v>
      </c>
      <c r="Z6"/>
      <c r="AA6">
        <v>9</v>
      </c>
      <c r="AB6">
        <v>12</v>
      </c>
      <c r="AG6" s="15" t="s">
        <v>147</v>
      </c>
      <c r="AH6">
        <v>3586</v>
      </c>
      <c r="AI6">
        <v>195</v>
      </c>
      <c r="AJ6">
        <v>2192</v>
      </c>
      <c r="AK6">
        <v>230</v>
      </c>
      <c r="AL6">
        <v>84</v>
      </c>
      <c r="AR6">
        <v>87</v>
      </c>
    </row>
    <row r="7" spans="1:44" x14ac:dyDescent="0.35">
      <c r="A7" s="8" t="s">
        <v>88</v>
      </c>
      <c r="B7" s="8" t="s">
        <v>82</v>
      </c>
      <c r="C7" s="8" t="s">
        <v>89</v>
      </c>
      <c r="D7" s="8" t="s">
        <v>90</v>
      </c>
      <c r="E7" s="8" t="s">
        <v>91</v>
      </c>
      <c r="F7" s="8" t="s">
        <v>92</v>
      </c>
      <c r="G7" s="8" t="s">
        <v>2331</v>
      </c>
      <c r="H7" s="8">
        <v>5309</v>
      </c>
      <c r="I7" s="8"/>
      <c r="J7" s="9">
        <v>907</v>
      </c>
      <c r="K7" s="9">
        <v>225</v>
      </c>
      <c r="L7" s="9"/>
      <c r="M7" s="9"/>
      <c r="N7" s="9"/>
      <c r="O7" s="9"/>
      <c r="P7" s="9">
        <v>256</v>
      </c>
      <c r="Q7" s="9"/>
      <c r="R7" s="8" t="s">
        <v>92</v>
      </c>
      <c r="S7" s="8" t="s">
        <v>90</v>
      </c>
      <c r="T7" s="19" t="s">
        <v>2331</v>
      </c>
      <c r="U7" s="8" t="s">
        <v>2324</v>
      </c>
      <c r="V7">
        <v>5309</v>
      </c>
      <c r="X7">
        <v>907</v>
      </c>
      <c r="Y7">
        <v>225</v>
      </c>
      <c r="AD7">
        <v>256</v>
      </c>
      <c r="AG7" s="15" t="s">
        <v>64</v>
      </c>
      <c r="AH7">
        <v>3913</v>
      </c>
      <c r="AI7">
        <v>672</v>
      </c>
      <c r="AJ7">
        <v>736</v>
      </c>
      <c r="AK7">
        <v>921</v>
      </c>
      <c r="AL7">
        <v>8</v>
      </c>
      <c r="AR7">
        <v>77</v>
      </c>
    </row>
    <row r="8" spans="1:44" x14ac:dyDescent="0.35">
      <c r="A8" s="8"/>
      <c r="B8" s="8"/>
      <c r="C8" s="8"/>
      <c r="D8" s="8"/>
      <c r="E8" s="8"/>
      <c r="F8" s="8"/>
      <c r="G8" s="8"/>
      <c r="H8" s="8"/>
      <c r="I8" s="8"/>
      <c r="J8" s="9"/>
      <c r="K8" s="9"/>
      <c r="L8" s="9"/>
      <c r="M8" s="9"/>
      <c r="N8" s="9"/>
      <c r="O8" s="9"/>
      <c r="P8" s="9"/>
      <c r="Q8" s="9"/>
      <c r="R8" s="8" t="s">
        <v>45</v>
      </c>
      <c r="S8" s="8" t="s">
        <v>90</v>
      </c>
      <c r="T8" s="19" t="s">
        <v>2331</v>
      </c>
      <c r="U8" s="8" t="s">
        <v>2324</v>
      </c>
      <c r="V8" s="8">
        <v>4119</v>
      </c>
      <c r="W8" s="8"/>
      <c r="X8" s="8">
        <v>657</v>
      </c>
      <c r="Y8" s="8"/>
      <c r="Z8" s="21"/>
      <c r="AA8" s="8"/>
      <c r="AB8" s="8"/>
      <c r="AC8" s="8"/>
      <c r="AD8" s="8"/>
      <c r="AE8" s="8"/>
      <c r="AF8" s="8"/>
      <c r="AG8" s="17" t="s">
        <v>89</v>
      </c>
    </row>
    <row r="9" spans="1:44" x14ac:dyDescent="0.35">
      <c r="A9" s="8" t="s">
        <v>93</v>
      </c>
      <c r="B9" s="8" t="s">
        <v>82</v>
      </c>
      <c r="C9" s="8" t="s">
        <v>89</v>
      </c>
      <c r="D9" s="8" t="s">
        <v>90</v>
      </c>
      <c r="E9" s="8" t="s">
        <v>94</v>
      </c>
      <c r="F9" s="8" t="s">
        <v>95</v>
      </c>
      <c r="G9" s="8" t="s">
        <v>2331</v>
      </c>
      <c r="H9" s="8">
        <v>10449</v>
      </c>
      <c r="I9" s="8"/>
      <c r="J9" s="9">
        <v>2291</v>
      </c>
      <c r="K9" s="9"/>
      <c r="L9" s="9"/>
      <c r="M9" s="9"/>
      <c r="N9" s="9"/>
      <c r="O9" s="9"/>
      <c r="P9" s="9"/>
      <c r="Q9" s="9"/>
      <c r="R9" s="8" t="s">
        <v>95</v>
      </c>
      <c r="S9" s="8" t="s">
        <v>90</v>
      </c>
      <c r="T9" s="19" t="s">
        <v>2331</v>
      </c>
      <c r="U9" s="8" t="s">
        <v>2324</v>
      </c>
      <c r="V9" s="8">
        <v>6330</v>
      </c>
      <c r="W9" s="8"/>
      <c r="X9" s="8">
        <v>1634</v>
      </c>
      <c r="Y9" s="8"/>
      <c r="Z9" s="21"/>
      <c r="AA9" s="8"/>
      <c r="AB9" s="8"/>
      <c r="AC9" s="8"/>
      <c r="AD9" s="8"/>
      <c r="AE9" s="8"/>
      <c r="AF9" s="8"/>
      <c r="AG9" s="15" t="s">
        <v>98</v>
      </c>
      <c r="AH9">
        <v>7543</v>
      </c>
      <c r="AI9">
        <v>209</v>
      </c>
      <c r="AJ9">
        <v>1230</v>
      </c>
      <c r="AP9">
        <v>674</v>
      </c>
      <c r="AR9">
        <v>224</v>
      </c>
    </row>
    <row r="10" spans="1:44" x14ac:dyDescent="0.35">
      <c r="A10" s="8" t="s">
        <v>96</v>
      </c>
      <c r="B10" s="8" t="s">
        <v>82</v>
      </c>
      <c r="C10" s="8" t="s">
        <v>89</v>
      </c>
      <c r="D10" s="8" t="s">
        <v>90</v>
      </c>
      <c r="E10" s="8" t="s">
        <v>97</v>
      </c>
      <c r="F10" s="8" t="s">
        <v>98</v>
      </c>
      <c r="G10" s="8" t="s">
        <v>2331</v>
      </c>
      <c r="H10" s="8">
        <v>7543</v>
      </c>
      <c r="I10" s="8">
        <v>209</v>
      </c>
      <c r="J10" s="9">
        <v>1230</v>
      </c>
      <c r="K10" s="9"/>
      <c r="L10" s="9"/>
      <c r="M10" s="9"/>
      <c r="N10" s="9"/>
      <c r="O10" s="9"/>
      <c r="P10" s="9">
        <v>674</v>
      </c>
      <c r="Q10" s="9"/>
      <c r="R10" s="8" t="s">
        <v>98</v>
      </c>
      <c r="S10" s="8" t="s">
        <v>90</v>
      </c>
      <c r="T10" s="19" t="s">
        <v>2331</v>
      </c>
      <c r="U10" s="8" t="s">
        <v>2324</v>
      </c>
      <c r="V10">
        <v>7543</v>
      </c>
      <c r="W10">
        <v>209</v>
      </c>
      <c r="X10">
        <v>1230</v>
      </c>
      <c r="AD10">
        <v>674</v>
      </c>
      <c r="AG10" s="15" t="s">
        <v>95</v>
      </c>
      <c r="AH10">
        <v>6330</v>
      </c>
      <c r="AJ10">
        <v>1634</v>
      </c>
      <c r="AR10">
        <v>109</v>
      </c>
    </row>
    <row r="11" spans="1:44" x14ac:dyDescent="0.35">
      <c r="A11" s="8" t="s">
        <v>99</v>
      </c>
      <c r="B11" s="8" t="s">
        <v>82</v>
      </c>
      <c r="C11" s="8" t="s">
        <v>100</v>
      </c>
      <c r="D11" s="8" t="s">
        <v>101</v>
      </c>
      <c r="E11" s="8" t="s">
        <v>102</v>
      </c>
      <c r="F11" s="8" t="s">
        <v>103</v>
      </c>
      <c r="G11" s="8" t="s">
        <v>2331</v>
      </c>
      <c r="H11" s="8">
        <v>12230</v>
      </c>
      <c r="I11" s="8">
        <v>1314</v>
      </c>
      <c r="J11" s="9"/>
      <c r="K11" s="9">
        <v>823</v>
      </c>
      <c r="L11" s="9"/>
      <c r="M11" s="9"/>
      <c r="N11" s="9"/>
      <c r="O11" s="9"/>
      <c r="P11" s="9"/>
      <c r="Q11" s="9"/>
      <c r="R11" s="8" t="s">
        <v>103</v>
      </c>
      <c r="S11" s="8" t="s">
        <v>101</v>
      </c>
      <c r="T11" s="19" t="s">
        <v>2331</v>
      </c>
      <c r="U11" s="8" t="s">
        <v>2324</v>
      </c>
      <c r="V11" s="8">
        <v>7230</v>
      </c>
      <c r="W11" s="8">
        <v>690</v>
      </c>
      <c r="X11" s="8"/>
      <c r="Y11" s="8">
        <v>24</v>
      </c>
      <c r="Z11" s="21"/>
      <c r="AA11" s="8"/>
      <c r="AB11" s="8">
        <v>258</v>
      </c>
      <c r="AC11" s="8"/>
      <c r="AD11" s="8"/>
      <c r="AE11" s="8"/>
      <c r="AF11" s="8"/>
      <c r="AG11" s="15" t="s">
        <v>45</v>
      </c>
      <c r="AH11">
        <v>4119</v>
      </c>
      <c r="AJ11">
        <v>657</v>
      </c>
      <c r="AR11">
        <v>59</v>
      </c>
    </row>
    <row r="12" spans="1:44" x14ac:dyDescent="0.35">
      <c r="A12" s="8"/>
      <c r="B12" s="8"/>
      <c r="C12" s="8"/>
      <c r="D12" s="8"/>
      <c r="E12" s="8"/>
      <c r="F12" s="8"/>
      <c r="G12" s="8"/>
      <c r="H12" s="8"/>
      <c r="I12" s="8"/>
      <c r="J12" s="9"/>
      <c r="K12" s="9"/>
      <c r="L12" s="9"/>
      <c r="M12" s="9"/>
      <c r="N12" s="9"/>
      <c r="O12" s="9"/>
      <c r="P12" s="9"/>
      <c r="Q12" s="9"/>
      <c r="R12" s="8" t="s">
        <v>46</v>
      </c>
      <c r="S12" s="8" t="s">
        <v>101</v>
      </c>
      <c r="T12" s="19" t="s">
        <v>2331</v>
      </c>
      <c r="U12" s="8" t="s">
        <v>2324</v>
      </c>
      <c r="V12">
        <v>6119</v>
      </c>
      <c r="W12">
        <v>690</v>
      </c>
      <c r="Y12">
        <v>659</v>
      </c>
      <c r="AG12" s="15" t="s">
        <v>92</v>
      </c>
      <c r="AH12">
        <v>5309</v>
      </c>
      <c r="AJ12">
        <v>907</v>
      </c>
      <c r="AK12">
        <v>225</v>
      </c>
      <c r="AP12">
        <v>256</v>
      </c>
      <c r="AR12">
        <v>121</v>
      </c>
    </row>
    <row r="13" spans="1:44" x14ac:dyDescent="0.35">
      <c r="A13" s="8"/>
      <c r="B13" s="8"/>
      <c r="C13" s="8"/>
      <c r="D13" s="8"/>
      <c r="E13" s="8"/>
      <c r="F13" s="8"/>
      <c r="G13" s="8"/>
      <c r="H13" s="8"/>
      <c r="I13" s="8"/>
      <c r="J13" s="9"/>
      <c r="K13" s="9"/>
      <c r="L13" s="9"/>
      <c r="M13" s="9"/>
      <c r="N13" s="9"/>
      <c r="O13" s="9"/>
      <c r="P13" s="9"/>
      <c r="Q13" s="9"/>
      <c r="R13" s="8" t="s">
        <v>47</v>
      </c>
      <c r="S13" s="8" t="s">
        <v>101</v>
      </c>
      <c r="T13" s="19" t="s">
        <v>2331</v>
      </c>
      <c r="U13" s="8" t="s">
        <v>2324</v>
      </c>
      <c r="V13">
        <v>4155</v>
      </c>
      <c r="W13">
        <v>455</v>
      </c>
      <c r="Y13">
        <v>140</v>
      </c>
      <c r="AG13" s="17" t="s">
        <v>100</v>
      </c>
    </row>
    <row r="14" spans="1:44" x14ac:dyDescent="0.35">
      <c r="A14" s="8" t="s">
        <v>104</v>
      </c>
      <c r="B14" s="8" t="s">
        <v>82</v>
      </c>
      <c r="C14" s="8" t="s">
        <v>100</v>
      </c>
      <c r="D14" s="8" t="s">
        <v>101</v>
      </c>
      <c r="E14" s="8" t="s">
        <v>105</v>
      </c>
      <c r="F14" s="8" t="s">
        <v>106</v>
      </c>
      <c r="G14" s="8" t="s">
        <v>2331</v>
      </c>
      <c r="H14" s="8">
        <v>10998</v>
      </c>
      <c r="I14" s="8">
        <v>1048</v>
      </c>
      <c r="J14" s="9"/>
      <c r="K14" s="9"/>
      <c r="L14" s="9"/>
      <c r="M14" s="9"/>
      <c r="N14" s="9">
        <v>527</v>
      </c>
      <c r="O14" s="9"/>
      <c r="P14" s="9"/>
      <c r="Q14" s="9"/>
      <c r="R14" s="8" t="s">
        <v>106</v>
      </c>
      <c r="S14" s="8" t="s">
        <v>101</v>
      </c>
      <c r="T14" s="19" t="s">
        <v>2331</v>
      </c>
      <c r="U14" s="8" t="s">
        <v>2324</v>
      </c>
      <c r="V14" s="8">
        <v>5724</v>
      </c>
      <c r="W14" s="8">
        <v>527</v>
      </c>
      <c r="X14" s="8"/>
      <c r="Y14" s="8"/>
      <c r="Z14" s="21"/>
      <c r="AA14" s="8"/>
      <c r="AB14" s="8">
        <v>269</v>
      </c>
      <c r="AC14" s="8"/>
      <c r="AD14" s="8"/>
      <c r="AE14" s="8"/>
      <c r="AF14" s="8"/>
      <c r="AG14" s="15" t="s">
        <v>106</v>
      </c>
      <c r="AH14">
        <v>5724</v>
      </c>
      <c r="AI14">
        <v>527</v>
      </c>
      <c r="AN14">
        <v>269</v>
      </c>
      <c r="AR14">
        <v>56</v>
      </c>
    </row>
    <row r="15" spans="1:44" x14ac:dyDescent="0.35">
      <c r="A15" s="8" t="s">
        <v>107</v>
      </c>
      <c r="B15" s="8" t="s">
        <v>82</v>
      </c>
      <c r="C15" s="8" t="s">
        <v>100</v>
      </c>
      <c r="D15" s="8" t="s">
        <v>101</v>
      </c>
      <c r="E15" s="8" t="s">
        <v>108</v>
      </c>
      <c r="F15" s="8" t="s">
        <v>109</v>
      </c>
      <c r="G15" s="8" t="s">
        <v>2331</v>
      </c>
      <c r="H15" s="8">
        <v>6793</v>
      </c>
      <c r="I15" s="8">
        <v>948</v>
      </c>
      <c r="J15" s="9"/>
      <c r="K15" s="9">
        <v>411</v>
      </c>
      <c r="L15" s="9"/>
      <c r="M15" s="9"/>
      <c r="N15" s="9"/>
      <c r="O15" s="9"/>
      <c r="P15" s="9"/>
      <c r="Q15" s="9"/>
      <c r="R15" s="8" t="s">
        <v>109</v>
      </c>
      <c r="S15" s="8" t="s">
        <v>101</v>
      </c>
      <c r="T15" s="19" t="s">
        <v>2331</v>
      </c>
      <c r="U15" s="8" t="s">
        <v>2324</v>
      </c>
      <c r="V15">
        <v>6793</v>
      </c>
      <c r="W15">
        <v>948</v>
      </c>
      <c r="Y15">
        <v>411</v>
      </c>
      <c r="AG15" s="15" t="s">
        <v>109</v>
      </c>
      <c r="AH15">
        <v>6793</v>
      </c>
      <c r="AI15">
        <v>948</v>
      </c>
      <c r="AK15">
        <v>411</v>
      </c>
      <c r="AR15">
        <v>62</v>
      </c>
    </row>
    <row r="16" spans="1:44" x14ac:dyDescent="0.35">
      <c r="A16" s="8" t="s">
        <v>110</v>
      </c>
      <c r="B16" s="8" t="s">
        <v>82</v>
      </c>
      <c r="C16" s="8" t="s">
        <v>111</v>
      </c>
      <c r="D16" s="8" t="s">
        <v>112</v>
      </c>
      <c r="E16" s="8" t="s">
        <v>113</v>
      </c>
      <c r="F16" s="8" t="s">
        <v>114</v>
      </c>
      <c r="G16" s="8" t="s">
        <v>2332</v>
      </c>
      <c r="H16" s="8">
        <v>3438</v>
      </c>
      <c r="I16" s="8">
        <v>4667</v>
      </c>
      <c r="J16" s="8"/>
      <c r="K16" s="8">
        <v>928</v>
      </c>
      <c r="L16" s="8">
        <v>192</v>
      </c>
      <c r="M16" s="8"/>
      <c r="N16" s="8"/>
      <c r="O16" s="9"/>
      <c r="P16" s="9"/>
      <c r="Q16" s="9"/>
      <c r="R16" s="8" t="s">
        <v>114</v>
      </c>
      <c r="S16" s="8" t="s">
        <v>112</v>
      </c>
      <c r="T16" s="19" t="s">
        <v>2332</v>
      </c>
      <c r="U16" s="8"/>
      <c r="V16" s="8">
        <v>3438</v>
      </c>
      <c r="W16" s="8">
        <v>4667</v>
      </c>
      <c r="X16" s="8"/>
      <c r="Y16" s="8">
        <v>928</v>
      </c>
      <c r="Z16" s="21">
        <v>192</v>
      </c>
      <c r="AA16" s="8"/>
      <c r="AB16" s="8"/>
      <c r="AC16" s="8"/>
      <c r="AD16" s="8"/>
      <c r="AE16" s="8"/>
      <c r="AF16" s="8"/>
      <c r="AG16" s="15" t="s">
        <v>47</v>
      </c>
      <c r="AH16">
        <v>4155</v>
      </c>
      <c r="AI16">
        <v>455</v>
      </c>
      <c r="AK16">
        <v>140</v>
      </c>
      <c r="AR16">
        <v>48</v>
      </c>
    </row>
    <row r="17" spans="1:44" x14ac:dyDescent="0.35">
      <c r="A17" s="8" t="s">
        <v>115</v>
      </c>
      <c r="B17" s="8" t="s">
        <v>82</v>
      </c>
      <c r="C17" s="8" t="s">
        <v>111</v>
      </c>
      <c r="D17" s="8" t="s">
        <v>112</v>
      </c>
      <c r="E17" s="8" t="s">
        <v>116</v>
      </c>
      <c r="F17" s="8" t="s">
        <v>117</v>
      </c>
      <c r="G17" s="8" t="s">
        <v>2332</v>
      </c>
      <c r="H17" s="8">
        <v>4544</v>
      </c>
      <c r="I17" s="8">
        <v>5175</v>
      </c>
      <c r="J17" s="8">
        <v>1848</v>
      </c>
      <c r="K17" s="8">
        <v>972</v>
      </c>
      <c r="L17" s="8">
        <v>204</v>
      </c>
      <c r="M17" s="8"/>
      <c r="N17" s="8"/>
      <c r="O17" s="9"/>
      <c r="P17" s="9"/>
      <c r="Q17" s="9"/>
      <c r="R17" s="8" t="s">
        <v>117</v>
      </c>
      <c r="S17" s="8" t="s">
        <v>112</v>
      </c>
      <c r="T17" s="19" t="s">
        <v>2332</v>
      </c>
      <c r="U17" s="8"/>
      <c r="V17" s="8">
        <v>4544</v>
      </c>
      <c r="W17" s="8">
        <v>5175</v>
      </c>
      <c r="X17" s="8">
        <v>1848</v>
      </c>
      <c r="Y17" s="8">
        <v>972</v>
      </c>
      <c r="Z17" s="21">
        <v>204</v>
      </c>
      <c r="AA17" s="8"/>
      <c r="AB17" s="8"/>
      <c r="AC17" s="8"/>
      <c r="AD17" s="8"/>
      <c r="AE17" s="8"/>
      <c r="AF17" s="8"/>
      <c r="AG17" s="15" t="s">
        <v>46</v>
      </c>
      <c r="AH17">
        <v>6119</v>
      </c>
      <c r="AI17">
        <v>690</v>
      </c>
      <c r="AK17">
        <v>659</v>
      </c>
      <c r="AR17">
        <v>58</v>
      </c>
    </row>
    <row r="18" spans="1:44" x14ac:dyDescent="0.35">
      <c r="A18" s="8" t="s">
        <v>118</v>
      </c>
      <c r="B18" s="8" t="s">
        <v>82</v>
      </c>
      <c r="C18" s="8" t="s">
        <v>111</v>
      </c>
      <c r="D18" s="8" t="s">
        <v>112</v>
      </c>
      <c r="E18" s="8" t="s">
        <v>119</v>
      </c>
      <c r="F18" s="8" t="s">
        <v>120</v>
      </c>
      <c r="G18" s="8" t="s">
        <v>2312</v>
      </c>
      <c r="H18" s="8">
        <v>4262</v>
      </c>
      <c r="I18" s="8">
        <v>1812</v>
      </c>
      <c r="J18" s="8">
        <v>4381</v>
      </c>
      <c r="K18" s="8">
        <v>1565</v>
      </c>
      <c r="L18" s="8">
        <v>185</v>
      </c>
      <c r="M18" s="8"/>
      <c r="N18" s="8"/>
      <c r="O18" s="9"/>
      <c r="P18" s="9"/>
      <c r="Q18" s="9"/>
      <c r="R18" s="8" t="s">
        <v>120</v>
      </c>
      <c r="S18" s="8" t="s">
        <v>112</v>
      </c>
      <c r="T18" s="19" t="s">
        <v>2488</v>
      </c>
      <c r="U18" s="8"/>
      <c r="V18" s="8">
        <v>4262</v>
      </c>
      <c r="W18" s="8">
        <v>1812</v>
      </c>
      <c r="X18" s="8">
        <v>4381</v>
      </c>
      <c r="Y18" s="8">
        <v>1565</v>
      </c>
      <c r="Z18" s="21">
        <v>185</v>
      </c>
      <c r="AA18" s="8"/>
      <c r="AB18" s="8"/>
      <c r="AC18" s="8"/>
      <c r="AD18" s="8"/>
      <c r="AE18" s="8"/>
      <c r="AF18" s="8"/>
      <c r="AG18" s="15" t="s">
        <v>103</v>
      </c>
      <c r="AH18">
        <v>7230</v>
      </c>
      <c r="AI18">
        <v>690</v>
      </c>
      <c r="AK18">
        <v>24</v>
      </c>
      <c r="AN18">
        <v>258</v>
      </c>
      <c r="AR18">
        <v>62</v>
      </c>
    </row>
    <row r="19" spans="1:44" x14ac:dyDescent="0.35">
      <c r="A19" s="8" t="s">
        <v>121</v>
      </c>
      <c r="B19" s="8" t="s">
        <v>82</v>
      </c>
      <c r="C19" s="8" t="s">
        <v>122</v>
      </c>
      <c r="D19" s="8" t="s">
        <v>123</v>
      </c>
      <c r="E19" s="8" t="s">
        <v>124</v>
      </c>
      <c r="F19" s="8" t="s">
        <v>125</v>
      </c>
      <c r="G19" s="8" t="s">
        <v>2329</v>
      </c>
      <c r="H19" s="8">
        <v>5498</v>
      </c>
      <c r="I19" s="8">
        <v>4090</v>
      </c>
      <c r="J19" s="9">
        <v>2299</v>
      </c>
      <c r="K19" s="9">
        <v>1000</v>
      </c>
      <c r="L19" s="9">
        <v>206</v>
      </c>
      <c r="M19" s="9"/>
      <c r="N19" s="9"/>
      <c r="O19" s="9"/>
      <c r="P19" s="9"/>
      <c r="Q19" s="9"/>
      <c r="R19" s="8" t="s">
        <v>125</v>
      </c>
      <c r="S19" s="8" t="s">
        <v>123</v>
      </c>
      <c r="T19" s="19" t="s">
        <v>2329</v>
      </c>
      <c r="U19" s="8" t="s">
        <v>2322</v>
      </c>
      <c r="V19" s="8">
        <v>4299</v>
      </c>
      <c r="W19" s="8">
        <v>2131</v>
      </c>
      <c r="X19" s="8">
        <v>1575</v>
      </c>
      <c r="Y19" s="8">
        <v>556</v>
      </c>
      <c r="Z19" s="21">
        <v>121</v>
      </c>
      <c r="AA19" s="8"/>
      <c r="AB19" s="8"/>
      <c r="AC19" s="8"/>
      <c r="AD19" s="8"/>
      <c r="AE19" s="8"/>
      <c r="AF19" s="8"/>
      <c r="AG19" s="17" t="s">
        <v>111</v>
      </c>
    </row>
    <row r="20" spans="1:44" x14ac:dyDescent="0.35">
      <c r="A20" s="8" t="s">
        <v>126</v>
      </c>
      <c r="B20" s="8" t="s">
        <v>82</v>
      </c>
      <c r="C20" s="8" t="s">
        <v>122</v>
      </c>
      <c r="D20" s="8" t="s">
        <v>123</v>
      </c>
      <c r="E20" s="8" t="s">
        <v>127</v>
      </c>
      <c r="F20" s="8" t="s">
        <v>128</v>
      </c>
      <c r="G20" s="8" t="s">
        <v>2329</v>
      </c>
      <c r="H20" s="8">
        <v>6134</v>
      </c>
      <c r="I20" s="8">
        <v>2121</v>
      </c>
      <c r="J20" s="9">
        <v>1804</v>
      </c>
      <c r="K20" s="9">
        <v>673</v>
      </c>
      <c r="L20" s="9"/>
      <c r="M20" s="9"/>
      <c r="N20" s="9"/>
      <c r="O20" s="9"/>
      <c r="P20" s="9"/>
      <c r="Q20" s="9"/>
      <c r="R20" s="8" t="s">
        <v>128</v>
      </c>
      <c r="S20" s="8" t="s">
        <v>123</v>
      </c>
      <c r="T20" s="19" t="s">
        <v>2329</v>
      </c>
      <c r="U20" s="8" t="s">
        <v>2322</v>
      </c>
      <c r="V20" s="8">
        <v>5012</v>
      </c>
      <c r="W20" s="8">
        <v>1055</v>
      </c>
      <c r="X20" s="8">
        <v>1362</v>
      </c>
      <c r="Y20" s="8">
        <v>316</v>
      </c>
      <c r="Z20" s="21"/>
      <c r="AA20" s="8"/>
      <c r="AB20" s="8"/>
      <c r="AC20" s="8"/>
      <c r="AD20" s="8"/>
      <c r="AE20" s="8"/>
      <c r="AF20" s="8"/>
      <c r="AG20" s="15" t="s">
        <v>120</v>
      </c>
      <c r="AH20">
        <v>4262</v>
      </c>
      <c r="AI20">
        <v>1812</v>
      </c>
      <c r="AJ20">
        <v>4381</v>
      </c>
      <c r="AK20">
        <v>1565</v>
      </c>
      <c r="AL20">
        <v>185</v>
      </c>
      <c r="AR20">
        <v>89</v>
      </c>
    </row>
    <row r="21" spans="1:44" x14ac:dyDescent="0.35">
      <c r="A21" s="8" t="s">
        <v>129</v>
      </c>
      <c r="B21" s="8" t="s">
        <v>82</v>
      </c>
      <c r="C21" s="8" t="s">
        <v>122</v>
      </c>
      <c r="D21" s="8" t="s">
        <v>123</v>
      </c>
      <c r="E21" s="8" t="s">
        <v>130</v>
      </c>
      <c r="F21" s="8" t="s">
        <v>131</v>
      </c>
      <c r="G21" s="8" t="s">
        <v>2329</v>
      </c>
      <c r="H21" s="8">
        <v>7427</v>
      </c>
      <c r="I21" s="8">
        <v>2410</v>
      </c>
      <c r="J21" s="9"/>
      <c r="K21" s="9">
        <v>743</v>
      </c>
      <c r="L21" s="9">
        <v>132</v>
      </c>
      <c r="M21" s="9"/>
      <c r="N21" s="9"/>
      <c r="O21" s="9"/>
      <c r="P21" s="9"/>
      <c r="Q21" s="9"/>
      <c r="R21" s="8" t="s">
        <v>131</v>
      </c>
      <c r="S21" s="8" t="s">
        <v>123</v>
      </c>
      <c r="T21" s="19" t="s">
        <v>2329</v>
      </c>
      <c r="U21" s="8" t="s">
        <v>2322</v>
      </c>
      <c r="V21" s="8">
        <v>7427</v>
      </c>
      <c r="W21" s="8">
        <v>2410</v>
      </c>
      <c r="X21" s="8"/>
      <c r="Y21" s="8">
        <v>743</v>
      </c>
      <c r="Z21" s="21">
        <v>132</v>
      </c>
      <c r="AA21" s="8"/>
      <c r="AB21" s="8"/>
      <c r="AC21" s="8"/>
      <c r="AD21" s="8"/>
      <c r="AE21" s="8"/>
      <c r="AF21" s="8"/>
      <c r="AG21" s="15" t="s">
        <v>114</v>
      </c>
      <c r="AH21">
        <v>3438</v>
      </c>
      <c r="AI21">
        <v>4667</v>
      </c>
      <c r="AK21">
        <v>928</v>
      </c>
      <c r="AL21">
        <v>192</v>
      </c>
      <c r="AR21">
        <v>50</v>
      </c>
    </row>
    <row r="22" spans="1:44" x14ac:dyDescent="0.35">
      <c r="A22" s="8"/>
      <c r="B22" s="8"/>
      <c r="C22" s="8"/>
      <c r="D22" s="8"/>
      <c r="E22" s="8"/>
      <c r="F22" s="8"/>
      <c r="G22" s="8"/>
      <c r="H22" s="8"/>
      <c r="I22" s="8"/>
      <c r="J22" s="9"/>
      <c r="K22" s="9"/>
      <c r="L22" s="9"/>
      <c r="M22" s="9"/>
      <c r="N22" s="9"/>
      <c r="O22" s="9"/>
      <c r="P22" s="9"/>
      <c r="Q22" s="9"/>
      <c r="R22" s="8" t="s">
        <v>48</v>
      </c>
      <c r="S22" s="8" t="s">
        <v>123</v>
      </c>
      <c r="T22" s="19" t="s">
        <v>2332</v>
      </c>
      <c r="U22" s="8" t="s">
        <v>2322</v>
      </c>
      <c r="V22" s="8">
        <v>2321</v>
      </c>
      <c r="W22" s="8">
        <v>3025</v>
      </c>
      <c r="X22" s="8">
        <v>1166</v>
      </c>
      <c r="Y22" s="8">
        <v>801</v>
      </c>
      <c r="Z22" s="21">
        <v>85</v>
      </c>
      <c r="AA22" s="8"/>
      <c r="AB22" s="8"/>
      <c r="AC22" s="8"/>
      <c r="AD22" s="8"/>
      <c r="AE22" s="8"/>
      <c r="AF22" s="8"/>
      <c r="AG22" s="15" t="s">
        <v>117</v>
      </c>
      <c r="AH22">
        <v>4544</v>
      </c>
      <c r="AI22">
        <v>5175</v>
      </c>
      <c r="AJ22">
        <v>1848</v>
      </c>
      <c r="AK22">
        <v>972</v>
      </c>
      <c r="AL22">
        <v>204</v>
      </c>
      <c r="AR22">
        <v>102</v>
      </c>
    </row>
    <row r="23" spans="1:44" x14ac:dyDescent="0.35">
      <c r="A23" s="8" t="s">
        <v>132</v>
      </c>
      <c r="B23" s="8" t="s">
        <v>82</v>
      </c>
      <c r="C23" s="8" t="s">
        <v>133</v>
      </c>
      <c r="D23" s="8" t="s">
        <v>134</v>
      </c>
      <c r="E23" s="8" t="s">
        <v>135</v>
      </c>
      <c r="F23" s="8" t="s">
        <v>136</v>
      </c>
      <c r="G23" s="8" t="s">
        <v>2331</v>
      </c>
      <c r="H23" s="8">
        <v>6286</v>
      </c>
      <c r="I23" s="8">
        <v>714</v>
      </c>
      <c r="J23" s="8">
        <v>1824</v>
      </c>
      <c r="K23" s="8">
        <v>156</v>
      </c>
      <c r="L23" s="8"/>
      <c r="M23" s="8"/>
      <c r="N23" s="8"/>
      <c r="O23" s="9"/>
      <c r="P23" s="9"/>
      <c r="Q23" s="9"/>
      <c r="R23" s="8" t="s">
        <v>136</v>
      </c>
      <c r="S23" s="8" t="s">
        <v>134</v>
      </c>
      <c r="T23" s="19" t="s">
        <v>2331</v>
      </c>
      <c r="U23" s="8"/>
      <c r="V23" s="8">
        <v>6286</v>
      </c>
      <c r="W23" s="8">
        <v>714</v>
      </c>
      <c r="X23" s="8">
        <v>1824</v>
      </c>
      <c r="Y23" s="8">
        <v>156</v>
      </c>
      <c r="Z23" s="21"/>
      <c r="AA23" s="8"/>
      <c r="AB23" s="8"/>
      <c r="AC23" s="8"/>
      <c r="AD23" s="8"/>
      <c r="AE23" s="8"/>
      <c r="AF23" s="8"/>
      <c r="AG23" s="17" t="s">
        <v>122</v>
      </c>
    </row>
    <row r="24" spans="1:44" x14ac:dyDescent="0.35">
      <c r="A24" s="8" t="s">
        <v>137</v>
      </c>
      <c r="B24" s="8" t="s">
        <v>82</v>
      </c>
      <c r="C24" s="8" t="s">
        <v>133</v>
      </c>
      <c r="D24" s="8" t="s">
        <v>134</v>
      </c>
      <c r="E24" s="8" t="s">
        <v>138</v>
      </c>
      <c r="F24" s="8" t="s">
        <v>139</v>
      </c>
      <c r="G24" s="8" t="s">
        <v>2331</v>
      </c>
      <c r="H24" s="8">
        <v>8267</v>
      </c>
      <c r="I24" s="8">
        <v>236</v>
      </c>
      <c r="J24" s="8">
        <v>1830</v>
      </c>
      <c r="K24" s="8">
        <v>188</v>
      </c>
      <c r="L24" s="8"/>
      <c r="M24" s="8"/>
      <c r="N24" s="8">
        <v>355</v>
      </c>
      <c r="O24" s="9"/>
      <c r="P24" s="9">
        <v>2184</v>
      </c>
      <c r="Q24" s="9"/>
      <c r="R24" s="8" t="s">
        <v>139</v>
      </c>
      <c r="S24" s="8" t="s">
        <v>134</v>
      </c>
      <c r="T24" s="19" t="s">
        <v>2331</v>
      </c>
      <c r="U24" s="8"/>
      <c r="V24" s="8">
        <v>8267</v>
      </c>
      <c r="W24" s="8">
        <v>236</v>
      </c>
      <c r="X24" s="8">
        <v>1830</v>
      </c>
      <c r="Y24" s="8">
        <v>188</v>
      </c>
      <c r="Z24" s="21"/>
      <c r="AA24" s="8"/>
      <c r="AB24" s="8">
        <v>355</v>
      </c>
      <c r="AC24" s="8"/>
      <c r="AD24" s="8">
        <v>2184</v>
      </c>
      <c r="AF24" s="8"/>
      <c r="AG24" s="15" t="s">
        <v>131</v>
      </c>
      <c r="AH24">
        <v>7427</v>
      </c>
      <c r="AI24">
        <v>2410</v>
      </c>
      <c r="AK24">
        <v>743</v>
      </c>
      <c r="AL24">
        <v>132</v>
      </c>
      <c r="AR24">
        <v>93</v>
      </c>
    </row>
    <row r="25" spans="1:44" x14ac:dyDescent="0.35">
      <c r="A25" s="8" t="s">
        <v>140</v>
      </c>
      <c r="B25" s="8" t="s">
        <v>82</v>
      </c>
      <c r="C25" s="8" t="s">
        <v>133</v>
      </c>
      <c r="D25" s="8" t="s">
        <v>134</v>
      </c>
      <c r="E25" s="8" t="s">
        <v>141</v>
      </c>
      <c r="F25" s="8" t="s">
        <v>142</v>
      </c>
      <c r="G25" s="8" t="s">
        <v>2331</v>
      </c>
      <c r="H25" s="8">
        <v>6990</v>
      </c>
      <c r="I25" s="8">
        <v>517</v>
      </c>
      <c r="J25" s="8">
        <v>2004</v>
      </c>
      <c r="K25" s="8">
        <v>391</v>
      </c>
      <c r="L25" s="8"/>
      <c r="M25" s="8"/>
      <c r="N25" s="8"/>
      <c r="O25" s="9"/>
      <c r="P25" s="9"/>
      <c r="Q25" s="9"/>
      <c r="R25" s="8" t="s">
        <v>142</v>
      </c>
      <c r="S25" s="8" t="s">
        <v>134</v>
      </c>
      <c r="T25" s="19" t="s">
        <v>2331</v>
      </c>
      <c r="U25" s="8"/>
      <c r="V25" s="8">
        <v>6990</v>
      </c>
      <c r="W25" s="8">
        <v>517</v>
      </c>
      <c r="X25" s="8">
        <v>2004</v>
      </c>
      <c r="Y25" s="8">
        <v>391</v>
      </c>
      <c r="Z25" s="21"/>
      <c r="AA25" s="8"/>
      <c r="AB25" s="8"/>
      <c r="AC25" s="8"/>
      <c r="AD25" s="8"/>
      <c r="AE25" s="8"/>
      <c r="AF25" s="8"/>
      <c r="AG25" s="15" t="s">
        <v>128</v>
      </c>
      <c r="AH25">
        <v>5012</v>
      </c>
      <c r="AI25">
        <v>1055</v>
      </c>
      <c r="AJ25">
        <v>1362</v>
      </c>
      <c r="AK25">
        <v>316</v>
      </c>
      <c r="AR25">
        <v>88</v>
      </c>
    </row>
    <row r="26" spans="1:44" x14ac:dyDescent="0.35">
      <c r="A26" s="8" t="s">
        <v>143</v>
      </c>
      <c r="B26" s="8" t="s">
        <v>82</v>
      </c>
      <c r="C26" s="8" t="s">
        <v>144</v>
      </c>
      <c r="D26" s="8" t="s">
        <v>145</v>
      </c>
      <c r="E26" s="8" t="s">
        <v>146</v>
      </c>
      <c r="F26" s="8" t="s">
        <v>147</v>
      </c>
      <c r="G26" s="8" t="s">
        <v>2331</v>
      </c>
      <c r="H26" s="8">
        <v>3990</v>
      </c>
      <c r="I26" s="8">
        <v>212</v>
      </c>
      <c r="J26" s="9">
        <v>2401</v>
      </c>
      <c r="K26" s="9">
        <v>256</v>
      </c>
      <c r="L26" s="9">
        <v>92</v>
      </c>
      <c r="M26" s="9"/>
      <c r="N26" s="9"/>
      <c r="O26" s="9"/>
      <c r="P26" s="9"/>
      <c r="Q26" s="9"/>
      <c r="R26" s="8" t="s">
        <v>147</v>
      </c>
      <c r="S26" s="8" t="s">
        <v>84</v>
      </c>
      <c r="T26" s="19" t="s">
        <v>2331</v>
      </c>
      <c r="U26" s="8" t="s">
        <v>2324</v>
      </c>
      <c r="V26">
        <v>3586</v>
      </c>
      <c r="W26">
        <v>195</v>
      </c>
      <c r="X26">
        <v>2192</v>
      </c>
      <c r="Y26">
        <v>230</v>
      </c>
      <c r="Z26">
        <v>84</v>
      </c>
      <c r="AG26" s="15" t="s">
        <v>125</v>
      </c>
      <c r="AH26">
        <v>4299</v>
      </c>
      <c r="AI26">
        <v>2131</v>
      </c>
      <c r="AJ26">
        <v>1575</v>
      </c>
      <c r="AK26">
        <v>556</v>
      </c>
      <c r="AL26">
        <v>121</v>
      </c>
      <c r="AR26">
        <v>100</v>
      </c>
    </row>
    <row r="27" spans="1:44" x14ac:dyDescent="0.35">
      <c r="A27" s="8" t="s">
        <v>148</v>
      </c>
      <c r="B27" s="8" t="s">
        <v>82</v>
      </c>
      <c r="C27" s="8" t="s">
        <v>144</v>
      </c>
      <c r="D27" s="8" t="s">
        <v>145</v>
      </c>
      <c r="E27" s="8" t="s">
        <v>149</v>
      </c>
      <c r="F27" s="8" t="s">
        <v>150</v>
      </c>
      <c r="G27" s="8" t="s">
        <v>2331</v>
      </c>
      <c r="H27" s="8">
        <v>5599</v>
      </c>
      <c r="I27" s="8">
        <v>1506</v>
      </c>
      <c r="J27" s="9">
        <v>2753</v>
      </c>
      <c r="K27" s="9">
        <v>947</v>
      </c>
      <c r="L27" s="9">
        <v>144</v>
      </c>
      <c r="M27" s="9"/>
      <c r="N27" s="9"/>
      <c r="O27" s="9"/>
      <c r="P27" s="9"/>
      <c r="Q27" s="9"/>
      <c r="R27" s="8" t="s">
        <v>150</v>
      </c>
      <c r="S27" s="8" t="s">
        <v>145</v>
      </c>
      <c r="T27" s="19" t="s">
        <v>2331</v>
      </c>
      <c r="U27" s="8" t="s">
        <v>2324</v>
      </c>
      <c r="V27" s="8">
        <v>4776</v>
      </c>
      <c r="W27" s="8">
        <v>1326</v>
      </c>
      <c r="X27" s="8">
        <v>2364</v>
      </c>
      <c r="Y27" s="8">
        <v>716</v>
      </c>
      <c r="Z27" s="21">
        <v>133</v>
      </c>
      <c r="AA27" s="8"/>
      <c r="AB27" s="8"/>
      <c r="AC27" s="8"/>
      <c r="AD27" s="8"/>
      <c r="AE27" s="8"/>
      <c r="AF27" s="8"/>
      <c r="AG27" s="15" t="s">
        <v>48</v>
      </c>
      <c r="AH27">
        <v>2321</v>
      </c>
      <c r="AI27">
        <v>3025</v>
      </c>
      <c r="AJ27">
        <v>1166</v>
      </c>
      <c r="AK27">
        <v>801</v>
      </c>
      <c r="AL27">
        <v>85</v>
      </c>
      <c r="AR27">
        <v>22</v>
      </c>
    </row>
    <row r="28" spans="1:44" x14ac:dyDescent="0.35">
      <c r="A28" s="8" t="s">
        <v>151</v>
      </c>
      <c r="B28" s="8" t="s">
        <v>82</v>
      </c>
      <c r="C28" s="8" t="s">
        <v>144</v>
      </c>
      <c r="D28" s="8" t="s">
        <v>145</v>
      </c>
      <c r="E28" s="8" t="s">
        <v>152</v>
      </c>
      <c r="F28" s="8" t="s">
        <v>65</v>
      </c>
      <c r="G28" s="8" t="s">
        <v>2331</v>
      </c>
      <c r="H28" s="8">
        <v>6411</v>
      </c>
      <c r="I28" s="8">
        <v>1432</v>
      </c>
      <c r="J28" s="9">
        <v>1472</v>
      </c>
      <c r="K28" s="9">
        <v>1171</v>
      </c>
      <c r="L28" s="9"/>
      <c r="M28" s="9"/>
      <c r="N28" s="9"/>
      <c r="O28" s="9"/>
      <c r="P28" s="9">
        <v>166</v>
      </c>
      <c r="Q28" s="9"/>
      <c r="R28" s="8" t="s">
        <v>66</v>
      </c>
      <c r="S28" s="8" t="s">
        <v>145</v>
      </c>
      <c r="T28" s="19" t="s">
        <v>2331</v>
      </c>
      <c r="U28" s="8" t="s">
        <v>2324</v>
      </c>
      <c r="V28" s="8">
        <v>3558</v>
      </c>
      <c r="W28" s="8">
        <v>871</v>
      </c>
      <c r="X28" s="8">
        <v>1679</v>
      </c>
      <c r="Y28" s="8">
        <v>606</v>
      </c>
      <c r="Z28" s="21"/>
      <c r="AA28" s="8"/>
      <c r="AB28" s="8"/>
      <c r="AC28" s="8"/>
      <c r="AD28" s="8">
        <v>48</v>
      </c>
      <c r="AF28" s="8"/>
      <c r="AG28" s="17" t="s">
        <v>133</v>
      </c>
    </row>
    <row r="29" spans="1:44" x14ac:dyDescent="0.35">
      <c r="A29" s="8"/>
      <c r="B29" s="8"/>
      <c r="C29" s="8"/>
      <c r="D29" s="8"/>
      <c r="E29" s="8"/>
      <c r="F29" s="8"/>
      <c r="G29" s="8"/>
      <c r="H29" s="8"/>
      <c r="I29" s="8"/>
      <c r="J29" s="9"/>
      <c r="K29" s="9"/>
      <c r="L29" s="9"/>
      <c r="M29" s="9"/>
      <c r="N29" s="9"/>
      <c r="O29" s="9"/>
      <c r="P29" s="9"/>
      <c r="Q29" s="9"/>
      <c r="R29" s="8" t="s">
        <v>49</v>
      </c>
      <c r="S29" s="8" t="s">
        <v>145</v>
      </c>
      <c r="T29" s="19" t="s">
        <v>2331</v>
      </c>
      <c r="U29" s="8" t="s">
        <v>2324</v>
      </c>
      <c r="V29" s="8">
        <v>4050</v>
      </c>
      <c r="W29" s="8">
        <v>823</v>
      </c>
      <c r="X29" s="8">
        <v>1032</v>
      </c>
      <c r="Y29" s="8">
        <v>827</v>
      </c>
      <c r="Z29" s="21">
        <v>8</v>
      </c>
      <c r="AA29" s="8"/>
      <c r="AB29" s="8"/>
      <c r="AC29" s="8"/>
      <c r="AD29" s="8">
        <v>66</v>
      </c>
      <c r="AF29" s="8"/>
      <c r="AG29" s="15" t="s">
        <v>136</v>
      </c>
      <c r="AH29">
        <v>6286</v>
      </c>
      <c r="AI29">
        <v>714</v>
      </c>
      <c r="AJ29">
        <v>1824</v>
      </c>
      <c r="AK29">
        <v>156</v>
      </c>
      <c r="AR29">
        <v>163</v>
      </c>
    </row>
    <row r="30" spans="1:44" x14ac:dyDescent="0.35">
      <c r="A30" s="8" t="s">
        <v>153</v>
      </c>
      <c r="B30" s="8" t="s">
        <v>82</v>
      </c>
      <c r="C30" s="8" t="s">
        <v>154</v>
      </c>
      <c r="D30" s="8" t="s">
        <v>155</v>
      </c>
      <c r="E30" s="8" t="s">
        <v>156</v>
      </c>
      <c r="F30" s="8" t="s">
        <v>157</v>
      </c>
      <c r="G30" s="8" t="s">
        <v>2331</v>
      </c>
      <c r="H30" s="8">
        <v>4997</v>
      </c>
      <c r="I30" s="8">
        <v>608</v>
      </c>
      <c r="J30" s="8">
        <v>1785</v>
      </c>
      <c r="K30" s="8">
        <v>610</v>
      </c>
      <c r="L30" s="8"/>
      <c r="M30" s="8"/>
      <c r="N30" s="8"/>
      <c r="O30" s="9"/>
      <c r="P30" s="9">
        <v>106</v>
      </c>
      <c r="Q30" s="9"/>
      <c r="R30" s="8" t="s">
        <v>157</v>
      </c>
      <c r="S30" s="8" t="s">
        <v>155</v>
      </c>
      <c r="T30" s="19" t="s">
        <v>2331</v>
      </c>
      <c r="U30" s="8"/>
      <c r="V30" s="8">
        <v>4623</v>
      </c>
      <c r="W30" s="8">
        <v>526</v>
      </c>
      <c r="X30" s="8">
        <v>935</v>
      </c>
      <c r="Y30" s="8">
        <v>579</v>
      </c>
      <c r="Z30" s="21">
        <v>3</v>
      </c>
      <c r="AA30" s="8"/>
      <c r="AB30" s="8"/>
      <c r="AC30" s="8"/>
      <c r="AD30" s="8">
        <v>158</v>
      </c>
      <c r="AF30" s="8"/>
      <c r="AG30" s="15" t="s">
        <v>139</v>
      </c>
      <c r="AH30">
        <v>8267</v>
      </c>
      <c r="AI30">
        <v>236</v>
      </c>
      <c r="AJ30">
        <v>1830</v>
      </c>
      <c r="AK30">
        <v>188</v>
      </c>
      <c r="AN30">
        <v>355</v>
      </c>
      <c r="AP30">
        <v>2184</v>
      </c>
      <c r="AR30">
        <v>258</v>
      </c>
    </row>
    <row r="31" spans="1:44" x14ac:dyDescent="0.35">
      <c r="A31" s="8" t="s">
        <v>158</v>
      </c>
      <c r="B31" s="8" t="s">
        <v>82</v>
      </c>
      <c r="C31" s="8" t="s">
        <v>154</v>
      </c>
      <c r="D31" s="8" t="s">
        <v>155</v>
      </c>
      <c r="E31" s="8" t="s">
        <v>159</v>
      </c>
      <c r="F31" s="8" t="s">
        <v>160</v>
      </c>
      <c r="G31" s="8" t="s">
        <v>2331</v>
      </c>
      <c r="H31" s="8">
        <v>5122</v>
      </c>
      <c r="I31" s="8">
        <v>637</v>
      </c>
      <c r="J31" s="8">
        <v>1604</v>
      </c>
      <c r="K31" s="8">
        <v>741</v>
      </c>
      <c r="L31" s="8"/>
      <c r="M31" s="8"/>
      <c r="N31" s="8"/>
      <c r="O31" s="9"/>
      <c r="P31" s="9"/>
      <c r="Q31" s="9"/>
      <c r="R31" s="8" t="s">
        <v>160</v>
      </c>
      <c r="S31" s="8" t="s">
        <v>155</v>
      </c>
      <c r="T31" s="19" t="s">
        <v>2331</v>
      </c>
      <c r="U31" s="8"/>
      <c r="V31" s="8">
        <v>5122</v>
      </c>
      <c r="W31" s="8">
        <v>637</v>
      </c>
      <c r="X31" s="8">
        <v>1604</v>
      </c>
      <c r="Y31" s="8">
        <v>741</v>
      </c>
      <c r="Z31" s="21"/>
      <c r="AA31" s="8"/>
      <c r="AB31" s="8"/>
      <c r="AC31" s="8"/>
      <c r="AD31" s="8"/>
      <c r="AE31" s="8"/>
      <c r="AF31" s="8"/>
      <c r="AG31" s="15" t="s">
        <v>142</v>
      </c>
      <c r="AH31">
        <v>6990</v>
      </c>
      <c r="AI31">
        <v>517</v>
      </c>
      <c r="AJ31">
        <v>2004</v>
      </c>
      <c r="AK31">
        <v>391</v>
      </c>
      <c r="AR31">
        <v>138</v>
      </c>
    </row>
    <row r="32" spans="1:44" x14ac:dyDescent="0.35">
      <c r="A32" s="8" t="s">
        <v>161</v>
      </c>
      <c r="B32" s="8" t="s">
        <v>82</v>
      </c>
      <c r="C32" s="8" t="s">
        <v>154</v>
      </c>
      <c r="D32" s="8" t="s">
        <v>155</v>
      </c>
      <c r="E32" s="8" t="s">
        <v>162</v>
      </c>
      <c r="F32" s="8" t="s">
        <v>163</v>
      </c>
      <c r="G32" s="8" t="s">
        <v>2331</v>
      </c>
      <c r="H32" s="8">
        <v>5928</v>
      </c>
      <c r="I32" s="8">
        <v>773</v>
      </c>
      <c r="J32" s="8">
        <v>1396</v>
      </c>
      <c r="K32" s="8">
        <v>425</v>
      </c>
      <c r="L32" s="8"/>
      <c r="M32" s="8"/>
      <c r="N32" s="8"/>
      <c r="O32" s="9"/>
      <c r="P32" s="9"/>
      <c r="Q32" s="9"/>
      <c r="R32" s="8" t="s">
        <v>163</v>
      </c>
      <c r="S32" s="8" t="s">
        <v>155</v>
      </c>
      <c r="T32" s="19" t="s">
        <v>2331</v>
      </c>
      <c r="U32" s="8"/>
      <c r="V32" s="8">
        <v>5928</v>
      </c>
      <c r="W32" s="8">
        <v>773</v>
      </c>
      <c r="X32" s="8">
        <v>1396</v>
      </c>
      <c r="Y32" s="8">
        <v>425</v>
      </c>
      <c r="Z32" s="21"/>
      <c r="AA32" s="8"/>
      <c r="AB32" s="8"/>
      <c r="AC32" s="8"/>
      <c r="AD32" s="8"/>
      <c r="AE32" s="8"/>
      <c r="AF32" s="8"/>
      <c r="AG32" s="17" t="s">
        <v>144</v>
      </c>
    </row>
    <row r="33" spans="1:44" x14ac:dyDescent="0.35">
      <c r="A33" s="8" t="s">
        <v>164</v>
      </c>
      <c r="B33" s="8" t="s">
        <v>82</v>
      </c>
      <c r="C33" s="8" t="s">
        <v>165</v>
      </c>
      <c r="D33" s="8" t="s">
        <v>166</v>
      </c>
      <c r="E33" s="8" t="s">
        <v>167</v>
      </c>
      <c r="F33" s="8" t="s">
        <v>168</v>
      </c>
      <c r="G33" s="8" t="s">
        <v>2331</v>
      </c>
      <c r="H33" s="8">
        <v>4247</v>
      </c>
      <c r="I33" s="8">
        <v>317</v>
      </c>
      <c r="J33" s="8">
        <v>454</v>
      </c>
      <c r="K33" s="8">
        <v>115</v>
      </c>
      <c r="L33" s="8"/>
      <c r="M33" s="8"/>
      <c r="N33" s="8"/>
      <c r="O33" s="9"/>
      <c r="P33" s="9"/>
      <c r="Q33" s="9"/>
      <c r="R33" s="8" t="s">
        <v>168</v>
      </c>
      <c r="S33" s="8" t="s">
        <v>166</v>
      </c>
      <c r="T33" s="19" t="s">
        <v>2331</v>
      </c>
      <c r="U33" s="8"/>
      <c r="V33" s="8">
        <v>4247</v>
      </c>
      <c r="W33" s="8">
        <v>317</v>
      </c>
      <c r="X33" s="8">
        <v>454</v>
      </c>
      <c r="Y33" s="8">
        <v>115</v>
      </c>
      <c r="Z33" s="21"/>
      <c r="AA33" s="8"/>
      <c r="AB33" s="8"/>
      <c r="AC33" s="8"/>
      <c r="AD33" s="8"/>
      <c r="AE33" s="8"/>
      <c r="AF33" s="8"/>
      <c r="AG33" s="15" t="s">
        <v>66</v>
      </c>
      <c r="AH33">
        <v>3558</v>
      </c>
      <c r="AI33">
        <v>871</v>
      </c>
      <c r="AJ33">
        <v>1679</v>
      </c>
      <c r="AK33">
        <v>606</v>
      </c>
      <c r="AP33">
        <v>48</v>
      </c>
      <c r="AR33">
        <v>147</v>
      </c>
    </row>
    <row r="34" spans="1:44" x14ac:dyDescent="0.35">
      <c r="A34" s="8" t="s">
        <v>169</v>
      </c>
      <c r="B34" s="8" t="s">
        <v>82</v>
      </c>
      <c r="C34" s="8" t="s">
        <v>165</v>
      </c>
      <c r="D34" s="8" t="s">
        <v>166</v>
      </c>
      <c r="E34" s="8" t="s">
        <v>170</v>
      </c>
      <c r="F34" s="8" t="s">
        <v>171</v>
      </c>
      <c r="G34" s="8" t="s">
        <v>2331</v>
      </c>
      <c r="H34" s="8">
        <v>4202</v>
      </c>
      <c r="I34" s="8">
        <v>515</v>
      </c>
      <c r="J34" s="8">
        <v>910</v>
      </c>
      <c r="K34" s="8">
        <v>136</v>
      </c>
      <c r="L34" s="8"/>
      <c r="M34" s="8"/>
      <c r="N34" s="8"/>
      <c r="O34" s="9"/>
      <c r="P34" s="9"/>
      <c r="Q34" s="9"/>
      <c r="R34" s="8" t="s">
        <v>171</v>
      </c>
      <c r="S34" s="8" t="s">
        <v>166</v>
      </c>
      <c r="T34" s="19" t="s">
        <v>2331</v>
      </c>
      <c r="U34" s="8"/>
      <c r="V34" s="8">
        <v>4202</v>
      </c>
      <c r="W34" s="8">
        <v>515</v>
      </c>
      <c r="X34" s="8">
        <v>910</v>
      </c>
      <c r="Y34" s="8">
        <v>136</v>
      </c>
      <c r="Z34" s="21"/>
      <c r="AA34" s="8"/>
      <c r="AB34" s="8"/>
      <c r="AC34" s="8"/>
      <c r="AD34" s="8"/>
      <c r="AE34" s="8"/>
      <c r="AF34" s="8"/>
      <c r="AG34" s="15" t="s">
        <v>150</v>
      </c>
      <c r="AH34">
        <v>4776</v>
      </c>
      <c r="AI34">
        <v>1326</v>
      </c>
      <c r="AJ34">
        <v>2364</v>
      </c>
      <c r="AK34">
        <v>716</v>
      </c>
      <c r="AL34">
        <v>133</v>
      </c>
      <c r="AR34">
        <v>106</v>
      </c>
    </row>
    <row r="35" spans="1:44" x14ac:dyDescent="0.35">
      <c r="A35" s="8" t="s">
        <v>172</v>
      </c>
      <c r="B35" s="8" t="s">
        <v>82</v>
      </c>
      <c r="C35" s="8" t="s">
        <v>165</v>
      </c>
      <c r="D35" s="8" t="s">
        <v>166</v>
      </c>
      <c r="E35" s="8" t="s">
        <v>173</v>
      </c>
      <c r="F35" s="8" t="s">
        <v>174</v>
      </c>
      <c r="G35" s="8" t="s">
        <v>2331</v>
      </c>
      <c r="H35" s="8">
        <v>4273</v>
      </c>
      <c r="I35" s="8">
        <v>94</v>
      </c>
      <c r="J35" s="8">
        <v>702</v>
      </c>
      <c r="K35" s="8">
        <v>157</v>
      </c>
      <c r="L35" s="8"/>
      <c r="M35" s="8"/>
      <c r="N35" s="8"/>
      <c r="O35" s="9"/>
      <c r="P35" s="9"/>
      <c r="Q35" s="9"/>
      <c r="R35" s="8" t="s">
        <v>174</v>
      </c>
      <c r="S35" s="8" t="s">
        <v>166</v>
      </c>
      <c r="T35" s="19" t="s">
        <v>2331</v>
      </c>
      <c r="U35" s="8"/>
      <c r="V35">
        <v>4273</v>
      </c>
      <c r="W35">
        <v>94</v>
      </c>
      <c r="X35">
        <v>702</v>
      </c>
      <c r="Y35">
        <v>157</v>
      </c>
      <c r="Z35"/>
      <c r="AG35" s="15" t="s">
        <v>49</v>
      </c>
      <c r="AH35">
        <v>4050</v>
      </c>
      <c r="AI35">
        <v>823</v>
      </c>
      <c r="AJ35">
        <v>1032</v>
      </c>
      <c r="AK35">
        <v>827</v>
      </c>
      <c r="AL35">
        <v>8</v>
      </c>
      <c r="AP35">
        <v>66</v>
      </c>
      <c r="AR35">
        <v>119</v>
      </c>
    </row>
    <row r="36" spans="1:44" x14ac:dyDescent="0.35">
      <c r="A36" s="8" t="s">
        <v>175</v>
      </c>
      <c r="B36" s="8" t="s">
        <v>82</v>
      </c>
      <c r="C36" s="8" t="s">
        <v>176</v>
      </c>
      <c r="D36" s="8" t="s">
        <v>177</v>
      </c>
      <c r="E36" s="8" t="s">
        <v>178</v>
      </c>
      <c r="F36" s="8" t="s">
        <v>179</v>
      </c>
      <c r="G36" s="8" t="s">
        <v>2331</v>
      </c>
      <c r="H36" s="8">
        <v>4893</v>
      </c>
      <c r="I36" s="8">
        <v>801</v>
      </c>
      <c r="J36" s="8"/>
      <c r="K36" s="8">
        <v>483</v>
      </c>
      <c r="L36" s="8"/>
      <c r="M36" s="8"/>
      <c r="N36" s="8"/>
      <c r="O36" s="9"/>
      <c r="P36" s="9"/>
      <c r="Q36" s="9"/>
      <c r="R36" s="8" t="s">
        <v>179</v>
      </c>
      <c r="S36" s="8" t="s">
        <v>177</v>
      </c>
      <c r="T36" s="19" t="s">
        <v>2331</v>
      </c>
      <c r="U36" s="8"/>
      <c r="V36">
        <v>4893</v>
      </c>
      <c r="W36">
        <v>801</v>
      </c>
      <c r="Y36">
        <v>483</v>
      </c>
      <c r="Z36"/>
      <c r="AG36" s="17" t="s">
        <v>154</v>
      </c>
    </row>
    <row r="37" spans="1:44" x14ac:dyDescent="0.35">
      <c r="A37" s="8" t="s">
        <v>180</v>
      </c>
      <c r="B37" s="8" t="s">
        <v>82</v>
      </c>
      <c r="C37" s="8" t="s">
        <v>176</v>
      </c>
      <c r="D37" s="8" t="s">
        <v>177</v>
      </c>
      <c r="E37" s="8" t="s">
        <v>181</v>
      </c>
      <c r="F37" s="8" t="s">
        <v>182</v>
      </c>
      <c r="G37" s="8" t="s">
        <v>2331</v>
      </c>
      <c r="H37" s="8">
        <v>3629</v>
      </c>
      <c r="I37" s="8">
        <v>129</v>
      </c>
      <c r="J37" s="8">
        <v>1415</v>
      </c>
      <c r="K37" s="8">
        <v>135</v>
      </c>
      <c r="L37" s="8"/>
      <c r="M37" s="8"/>
      <c r="N37" s="8">
        <v>90</v>
      </c>
      <c r="O37" s="9"/>
      <c r="P37" s="9">
        <v>866</v>
      </c>
      <c r="Q37" s="9"/>
      <c r="R37" s="8" t="s">
        <v>182</v>
      </c>
      <c r="S37" s="8" t="s">
        <v>177</v>
      </c>
      <c r="T37" s="19" t="s">
        <v>2331</v>
      </c>
      <c r="U37" s="8"/>
      <c r="V37">
        <v>3629</v>
      </c>
      <c r="W37">
        <v>129</v>
      </c>
      <c r="X37">
        <v>1415</v>
      </c>
      <c r="Y37">
        <v>135</v>
      </c>
      <c r="Z37"/>
      <c r="AB37">
        <v>90</v>
      </c>
      <c r="AD37">
        <v>866</v>
      </c>
      <c r="AG37" s="15" t="s">
        <v>163</v>
      </c>
      <c r="AH37">
        <v>5928</v>
      </c>
      <c r="AI37">
        <v>773</v>
      </c>
      <c r="AJ37">
        <v>1396</v>
      </c>
      <c r="AK37">
        <v>425</v>
      </c>
      <c r="AR37">
        <v>133</v>
      </c>
    </row>
    <row r="38" spans="1:44" x14ac:dyDescent="0.35">
      <c r="A38" s="8" t="s">
        <v>183</v>
      </c>
      <c r="B38" s="8" t="s">
        <v>82</v>
      </c>
      <c r="C38" s="8" t="s">
        <v>176</v>
      </c>
      <c r="D38" s="8" t="s">
        <v>177</v>
      </c>
      <c r="E38" s="8" t="s">
        <v>184</v>
      </c>
      <c r="F38" s="8" t="s">
        <v>185</v>
      </c>
      <c r="G38" s="8" t="s">
        <v>2331</v>
      </c>
      <c r="H38" s="8">
        <v>3745</v>
      </c>
      <c r="I38" s="8">
        <v>764</v>
      </c>
      <c r="J38" s="8"/>
      <c r="K38" s="8">
        <v>73</v>
      </c>
      <c r="L38" s="8"/>
      <c r="M38" s="8"/>
      <c r="N38" s="8"/>
      <c r="O38" s="9">
        <v>2052</v>
      </c>
      <c r="P38" s="9">
        <v>635</v>
      </c>
      <c r="Q38" s="9"/>
      <c r="R38" s="8" t="s">
        <v>185</v>
      </c>
      <c r="S38" s="8" t="s">
        <v>177</v>
      </c>
      <c r="T38" s="19" t="s">
        <v>2331</v>
      </c>
      <c r="U38" s="8"/>
      <c r="V38" s="8">
        <v>3745</v>
      </c>
      <c r="W38" s="8">
        <v>764</v>
      </c>
      <c r="X38" s="8"/>
      <c r="Y38" s="8">
        <v>73</v>
      </c>
      <c r="Z38" s="21"/>
      <c r="AA38" s="8"/>
      <c r="AB38" s="8"/>
      <c r="AC38" s="8">
        <v>2052</v>
      </c>
      <c r="AD38" s="8">
        <v>635</v>
      </c>
      <c r="AF38" s="8"/>
      <c r="AG38" s="15" t="s">
        <v>160</v>
      </c>
      <c r="AH38">
        <v>5122</v>
      </c>
      <c r="AI38">
        <v>637</v>
      </c>
      <c r="AJ38">
        <v>1604</v>
      </c>
      <c r="AK38">
        <v>741</v>
      </c>
      <c r="AR38">
        <v>127</v>
      </c>
    </row>
    <row r="39" spans="1:44" x14ac:dyDescent="0.35">
      <c r="A39" s="8" t="s">
        <v>186</v>
      </c>
      <c r="B39" s="8" t="s">
        <v>82</v>
      </c>
      <c r="C39" s="8" t="s">
        <v>187</v>
      </c>
      <c r="D39" s="8" t="s">
        <v>188</v>
      </c>
      <c r="E39" s="8" t="s">
        <v>189</v>
      </c>
      <c r="F39" s="8" t="s">
        <v>190</v>
      </c>
      <c r="G39" s="8" t="s">
        <v>2333</v>
      </c>
      <c r="H39" s="8">
        <v>4781</v>
      </c>
      <c r="I39" s="8"/>
      <c r="J39" s="8">
        <v>3518</v>
      </c>
      <c r="K39" s="8">
        <v>194</v>
      </c>
      <c r="L39" s="8"/>
      <c r="M39" s="8"/>
      <c r="N39" s="8"/>
      <c r="O39" s="9"/>
      <c r="P39" s="9"/>
      <c r="Q39" s="9"/>
      <c r="R39" s="8" t="s">
        <v>190</v>
      </c>
      <c r="S39" s="8" t="s">
        <v>188</v>
      </c>
      <c r="T39" s="19" t="s">
        <v>2333</v>
      </c>
      <c r="U39" s="8"/>
      <c r="V39" s="8">
        <v>4781</v>
      </c>
      <c r="W39" s="8"/>
      <c r="X39" s="8">
        <v>3518</v>
      </c>
      <c r="Y39" s="8">
        <v>194</v>
      </c>
      <c r="Z39" s="21"/>
      <c r="AA39" s="8"/>
      <c r="AB39" s="8"/>
      <c r="AC39" s="8"/>
      <c r="AD39" s="8"/>
      <c r="AE39" s="8"/>
      <c r="AF39" s="8"/>
      <c r="AG39" s="15" t="s">
        <v>157</v>
      </c>
      <c r="AH39">
        <v>4623</v>
      </c>
      <c r="AI39">
        <v>526</v>
      </c>
      <c r="AJ39">
        <v>935</v>
      </c>
      <c r="AK39">
        <v>579</v>
      </c>
      <c r="AL39">
        <v>3</v>
      </c>
      <c r="AP39">
        <v>158</v>
      </c>
      <c r="AR39">
        <v>114</v>
      </c>
    </row>
    <row r="40" spans="1:44" x14ac:dyDescent="0.35">
      <c r="A40" s="8" t="s">
        <v>191</v>
      </c>
      <c r="B40" s="8" t="s">
        <v>82</v>
      </c>
      <c r="C40" s="8" t="s">
        <v>187</v>
      </c>
      <c r="D40" s="8" t="s">
        <v>188</v>
      </c>
      <c r="E40" s="8" t="s">
        <v>192</v>
      </c>
      <c r="F40" s="8" t="s">
        <v>193</v>
      </c>
      <c r="G40" s="8" t="s">
        <v>2333</v>
      </c>
      <c r="H40" s="8">
        <v>3923</v>
      </c>
      <c r="I40" s="8"/>
      <c r="J40" s="8">
        <v>2633</v>
      </c>
      <c r="K40" s="8">
        <v>86</v>
      </c>
      <c r="L40" s="8"/>
      <c r="M40" s="8">
        <v>114</v>
      </c>
      <c r="N40" s="8"/>
      <c r="O40" s="9"/>
      <c r="P40" s="9"/>
      <c r="Q40" s="9"/>
      <c r="R40" s="8" t="s">
        <v>193</v>
      </c>
      <c r="S40" s="8" t="s">
        <v>188</v>
      </c>
      <c r="T40" s="19" t="s">
        <v>2333</v>
      </c>
      <c r="U40" s="8"/>
      <c r="V40" s="8">
        <v>3923</v>
      </c>
      <c r="W40" s="8"/>
      <c r="X40" s="8">
        <v>2633</v>
      </c>
      <c r="Y40" s="8">
        <v>86</v>
      </c>
      <c r="Z40" s="21"/>
      <c r="AA40" s="8">
        <v>114</v>
      </c>
      <c r="AB40" s="8"/>
      <c r="AC40" s="8"/>
      <c r="AD40" s="8"/>
      <c r="AE40" s="8"/>
      <c r="AF40" s="8"/>
      <c r="AG40" s="17" t="s">
        <v>165</v>
      </c>
    </row>
    <row r="41" spans="1:44" x14ac:dyDescent="0.35">
      <c r="A41" s="8" t="s">
        <v>194</v>
      </c>
      <c r="B41" s="8" t="s">
        <v>82</v>
      </c>
      <c r="C41" s="8" t="s">
        <v>187</v>
      </c>
      <c r="D41" s="8" t="s">
        <v>188</v>
      </c>
      <c r="E41" s="8" t="s">
        <v>195</v>
      </c>
      <c r="F41" s="8" t="s">
        <v>196</v>
      </c>
      <c r="G41" s="23" t="s">
        <v>2329</v>
      </c>
      <c r="H41" s="8">
        <v>3784</v>
      </c>
      <c r="I41" s="8">
        <v>206</v>
      </c>
      <c r="J41" s="8">
        <v>3731</v>
      </c>
      <c r="K41" s="8">
        <v>134</v>
      </c>
      <c r="L41" s="8"/>
      <c r="M41" s="8"/>
      <c r="N41" s="8"/>
      <c r="O41" s="9"/>
      <c r="P41" s="9"/>
      <c r="Q41" s="9"/>
      <c r="R41" s="8" t="s">
        <v>196</v>
      </c>
      <c r="S41" s="8" t="s">
        <v>188</v>
      </c>
      <c r="T41" s="19" t="s">
        <v>2329</v>
      </c>
      <c r="U41" s="8"/>
      <c r="V41" s="8">
        <v>3784</v>
      </c>
      <c r="W41" s="8">
        <v>206</v>
      </c>
      <c r="X41" s="8">
        <v>3731</v>
      </c>
      <c r="Y41" s="8">
        <v>134</v>
      </c>
      <c r="Z41" s="21"/>
      <c r="AA41" s="8"/>
      <c r="AB41" s="8"/>
      <c r="AC41" s="8"/>
      <c r="AD41" s="8"/>
      <c r="AE41" s="8"/>
      <c r="AF41" s="8"/>
      <c r="AG41" s="15" t="s">
        <v>174</v>
      </c>
      <c r="AH41">
        <v>4273</v>
      </c>
      <c r="AI41">
        <v>94</v>
      </c>
      <c r="AJ41">
        <v>702</v>
      </c>
      <c r="AK41">
        <v>157</v>
      </c>
      <c r="AR41">
        <v>52</v>
      </c>
    </row>
    <row r="42" spans="1:44" x14ac:dyDescent="0.35">
      <c r="A42" s="8" t="s">
        <v>197</v>
      </c>
      <c r="B42" s="8" t="s">
        <v>82</v>
      </c>
      <c r="C42" s="8" t="s">
        <v>198</v>
      </c>
      <c r="D42" s="8" t="s">
        <v>199</v>
      </c>
      <c r="E42" s="8" t="s">
        <v>200</v>
      </c>
      <c r="F42" s="8" t="s">
        <v>201</v>
      </c>
      <c r="G42" s="8" t="s">
        <v>2312</v>
      </c>
      <c r="H42" s="8">
        <v>2024</v>
      </c>
      <c r="I42" s="8"/>
      <c r="J42" s="8">
        <v>3227</v>
      </c>
      <c r="K42" s="8">
        <v>148</v>
      </c>
      <c r="L42" s="8"/>
      <c r="M42" s="8"/>
      <c r="N42" s="8"/>
      <c r="O42" s="9"/>
      <c r="P42" s="9">
        <v>2011</v>
      </c>
      <c r="Q42" s="9"/>
      <c r="R42" s="8" t="s">
        <v>201</v>
      </c>
      <c r="S42" s="8" t="s">
        <v>199</v>
      </c>
      <c r="T42" s="19" t="s">
        <v>2488</v>
      </c>
      <c r="U42" s="8"/>
      <c r="V42" s="8">
        <v>1782</v>
      </c>
      <c r="W42" s="8"/>
      <c r="X42" s="8">
        <v>2694</v>
      </c>
      <c r="Y42" s="8">
        <v>138</v>
      </c>
      <c r="Z42" s="21"/>
      <c r="AA42" s="8"/>
      <c r="AB42" s="8"/>
      <c r="AC42" s="8"/>
      <c r="AD42" s="8">
        <v>1707</v>
      </c>
      <c r="AF42" s="8"/>
      <c r="AG42" s="15" t="s">
        <v>168</v>
      </c>
      <c r="AH42">
        <v>4247</v>
      </c>
      <c r="AI42">
        <v>317</v>
      </c>
      <c r="AJ42">
        <v>454</v>
      </c>
      <c r="AK42">
        <v>115</v>
      </c>
      <c r="AR42">
        <v>61</v>
      </c>
    </row>
    <row r="43" spans="1:44" x14ac:dyDescent="0.35">
      <c r="A43" s="8" t="s">
        <v>202</v>
      </c>
      <c r="B43" s="8" t="s">
        <v>82</v>
      </c>
      <c r="C43" s="8" t="s">
        <v>198</v>
      </c>
      <c r="D43" s="8" t="s">
        <v>199</v>
      </c>
      <c r="E43" s="8" t="s">
        <v>203</v>
      </c>
      <c r="F43" s="8" t="s">
        <v>204</v>
      </c>
      <c r="G43" s="8" t="s">
        <v>2333</v>
      </c>
      <c r="H43" s="8">
        <v>3170</v>
      </c>
      <c r="I43" s="8"/>
      <c r="J43" s="8">
        <v>1358</v>
      </c>
      <c r="K43" s="8">
        <v>151</v>
      </c>
      <c r="L43" s="8"/>
      <c r="M43" s="8"/>
      <c r="N43" s="8"/>
      <c r="O43" s="9"/>
      <c r="P43" s="9">
        <v>2461</v>
      </c>
      <c r="Q43" s="9"/>
      <c r="R43" s="8" t="s">
        <v>204</v>
      </c>
      <c r="S43" s="8" t="s">
        <v>199</v>
      </c>
      <c r="T43" s="19" t="s">
        <v>2333</v>
      </c>
      <c r="U43" s="8"/>
      <c r="V43" s="8">
        <v>3170</v>
      </c>
      <c r="W43" s="8"/>
      <c r="X43" s="8">
        <v>1358</v>
      </c>
      <c r="Y43" s="8">
        <v>151</v>
      </c>
      <c r="Z43" s="21"/>
      <c r="AA43" s="8"/>
      <c r="AB43" s="8"/>
      <c r="AC43" s="8"/>
      <c r="AD43" s="8">
        <v>2461</v>
      </c>
      <c r="AF43" s="8"/>
      <c r="AG43" s="15" t="s">
        <v>171</v>
      </c>
      <c r="AH43">
        <v>4202</v>
      </c>
      <c r="AI43">
        <v>515</v>
      </c>
      <c r="AJ43">
        <v>910</v>
      </c>
      <c r="AK43">
        <v>136</v>
      </c>
      <c r="AR43">
        <v>96</v>
      </c>
    </row>
    <row r="44" spans="1:44" x14ac:dyDescent="0.35">
      <c r="A44" s="8" t="s">
        <v>205</v>
      </c>
      <c r="B44" s="8" t="s">
        <v>82</v>
      </c>
      <c r="C44" s="8" t="s">
        <v>206</v>
      </c>
      <c r="D44" s="8" t="s">
        <v>207</v>
      </c>
      <c r="E44" s="8" t="s">
        <v>208</v>
      </c>
      <c r="F44" s="8" t="s">
        <v>209</v>
      </c>
      <c r="G44" s="8" t="s">
        <v>2331</v>
      </c>
      <c r="H44" s="8">
        <v>5053</v>
      </c>
      <c r="I44" s="8">
        <v>1889</v>
      </c>
      <c r="J44" s="8">
        <v>667</v>
      </c>
      <c r="K44" s="8">
        <v>74</v>
      </c>
      <c r="L44" s="8"/>
      <c r="M44" s="8"/>
      <c r="N44" s="8">
        <v>60</v>
      </c>
      <c r="O44" s="9"/>
      <c r="P44" s="9"/>
      <c r="Q44" s="9"/>
      <c r="R44" s="8" t="s">
        <v>209</v>
      </c>
      <c r="S44" s="8" t="s">
        <v>207</v>
      </c>
      <c r="T44" s="19" t="s">
        <v>2331</v>
      </c>
      <c r="U44" s="8"/>
      <c r="V44" s="8">
        <v>5053</v>
      </c>
      <c r="W44" s="8">
        <v>1889</v>
      </c>
      <c r="X44" s="8">
        <v>667</v>
      </c>
      <c r="Y44" s="8">
        <v>74</v>
      </c>
      <c r="Z44" s="21"/>
      <c r="AA44" s="8"/>
      <c r="AB44" s="8">
        <v>60</v>
      </c>
      <c r="AC44" s="8"/>
      <c r="AD44" s="8"/>
      <c r="AE44" s="8"/>
      <c r="AF44" s="8"/>
      <c r="AG44" s="17" t="s">
        <v>176</v>
      </c>
    </row>
    <row r="45" spans="1:44" x14ac:dyDescent="0.35">
      <c r="A45" s="8" t="s">
        <v>210</v>
      </c>
      <c r="B45" s="8" t="s">
        <v>82</v>
      </c>
      <c r="C45" s="8" t="s">
        <v>206</v>
      </c>
      <c r="D45" s="8" t="s">
        <v>207</v>
      </c>
      <c r="E45" s="8" t="s">
        <v>211</v>
      </c>
      <c r="F45" s="8" t="s">
        <v>212</v>
      </c>
      <c r="G45" s="8" t="s">
        <v>2331</v>
      </c>
      <c r="H45" s="8">
        <v>3835</v>
      </c>
      <c r="I45" s="8"/>
      <c r="J45" s="8">
        <v>1846</v>
      </c>
      <c r="K45" s="8"/>
      <c r="L45" s="8"/>
      <c r="M45" s="8"/>
      <c r="N45" s="8"/>
      <c r="O45" s="9"/>
      <c r="P45" s="9"/>
      <c r="Q45" s="9"/>
      <c r="R45" s="8" t="s">
        <v>212</v>
      </c>
      <c r="S45" s="8" t="s">
        <v>207</v>
      </c>
      <c r="T45" s="19" t="s">
        <v>2331</v>
      </c>
      <c r="U45" s="8"/>
      <c r="V45" s="8">
        <v>4077</v>
      </c>
      <c r="W45" s="8"/>
      <c r="X45" s="8">
        <v>2379</v>
      </c>
      <c r="Y45" s="8">
        <v>10</v>
      </c>
      <c r="Z45" s="21"/>
      <c r="AA45" s="8"/>
      <c r="AB45" s="8"/>
      <c r="AC45" s="8"/>
      <c r="AD45" s="8">
        <v>304</v>
      </c>
      <c r="AF45" s="8"/>
      <c r="AG45" s="15" t="s">
        <v>185</v>
      </c>
      <c r="AH45">
        <v>3745</v>
      </c>
      <c r="AI45">
        <v>764</v>
      </c>
      <c r="AK45">
        <v>73</v>
      </c>
      <c r="AO45">
        <v>2052</v>
      </c>
      <c r="AP45">
        <v>635</v>
      </c>
      <c r="AR45">
        <v>196</v>
      </c>
    </row>
    <row r="46" spans="1:44" x14ac:dyDescent="0.35">
      <c r="A46" s="8" t="s">
        <v>213</v>
      </c>
      <c r="B46" s="8" t="s">
        <v>82</v>
      </c>
      <c r="C46" s="8" t="s">
        <v>206</v>
      </c>
      <c r="D46" s="8" t="s">
        <v>207</v>
      </c>
      <c r="E46" s="8" t="s">
        <v>214</v>
      </c>
      <c r="F46" s="8" t="s">
        <v>215</v>
      </c>
      <c r="G46" s="8" t="s">
        <v>2331</v>
      </c>
      <c r="H46" s="8">
        <v>5316</v>
      </c>
      <c r="I46" s="8">
        <v>136</v>
      </c>
      <c r="J46" s="8">
        <v>1383</v>
      </c>
      <c r="K46" s="8"/>
      <c r="L46" s="8"/>
      <c r="M46" s="8"/>
      <c r="N46" s="8"/>
      <c r="O46" s="9"/>
      <c r="P46" s="9"/>
      <c r="Q46" s="9"/>
      <c r="R46" s="8" t="s">
        <v>215</v>
      </c>
      <c r="S46" s="8" t="s">
        <v>207</v>
      </c>
      <c r="T46" s="19" t="s">
        <v>2331</v>
      </c>
      <c r="U46" s="8"/>
      <c r="V46">
        <v>5316</v>
      </c>
      <c r="W46">
        <v>136</v>
      </c>
      <c r="X46">
        <v>1383</v>
      </c>
      <c r="Z46"/>
      <c r="AF46" s="8"/>
      <c r="AG46" s="15" t="s">
        <v>182</v>
      </c>
      <c r="AH46">
        <v>3629</v>
      </c>
      <c r="AI46">
        <v>129</v>
      </c>
      <c r="AJ46">
        <v>1415</v>
      </c>
      <c r="AK46">
        <v>135</v>
      </c>
      <c r="AN46">
        <v>90</v>
      </c>
      <c r="AP46">
        <v>866</v>
      </c>
      <c r="AR46">
        <v>126</v>
      </c>
    </row>
    <row r="47" spans="1:44" x14ac:dyDescent="0.35">
      <c r="A47" s="8" t="s">
        <v>216</v>
      </c>
      <c r="B47" s="8" t="s">
        <v>82</v>
      </c>
      <c r="C47" s="8" t="s">
        <v>217</v>
      </c>
      <c r="D47" s="8" t="s">
        <v>218</v>
      </c>
      <c r="E47" s="8" t="s">
        <v>219</v>
      </c>
      <c r="F47" s="8" t="s">
        <v>220</v>
      </c>
      <c r="G47" s="8" t="s">
        <v>2331</v>
      </c>
      <c r="H47" s="8">
        <v>3809</v>
      </c>
      <c r="I47" s="8"/>
      <c r="J47" s="8">
        <v>1008</v>
      </c>
      <c r="K47" s="8">
        <v>454</v>
      </c>
      <c r="L47" s="8"/>
      <c r="M47" s="8"/>
      <c r="N47" s="8"/>
      <c r="O47" s="9"/>
      <c r="P47" s="9"/>
      <c r="Q47" s="9"/>
      <c r="R47" s="8" t="s">
        <v>220</v>
      </c>
      <c r="S47" s="8" t="s">
        <v>218</v>
      </c>
      <c r="T47" s="19" t="s">
        <v>2331</v>
      </c>
      <c r="U47" s="8"/>
      <c r="V47" s="8">
        <v>3809</v>
      </c>
      <c r="W47" s="8"/>
      <c r="X47" s="8">
        <v>1008</v>
      </c>
      <c r="Y47" s="8">
        <v>454</v>
      </c>
      <c r="Z47" s="21"/>
      <c r="AA47" s="8"/>
      <c r="AB47" s="8"/>
      <c r="AC47" s="8"/>
      <c r="AD47" s="8"/>
      <c r="AE47" s="8"/>
      <c r="AF47" s="8"/>
      <c r="AG47" s="15" t="s">
        <v>179</v>
      </c>
      <c r="AH47">
        <v>4893</v>
      </c>
      <c r="AI47">
        <v>801</v>
      </c>
      <c r="AK47">
        <v>483</v>
      </c>
      <c r="AR47">
        <v>145</v>
      </c>
    </row>
    <row r="48" spans="1:44" x14ac:dyDescent="0.35">
      <c r="A48" s="8" t="s">
        <v>221</v>
      </c>
      <c r="B48" s="8" t="s">
        <v>82</v>
      </c>
      <c r="C48" s="8" t="s">
        <v>217</v>
      </c>
      <c r="D48" s="8" t="s">
        <v>218</v>
      </c>
      <c r="E48" s="8" t="s">
        <v>222</v>
      </c>
      <c r="F48" s="8" t="s">
        <v>223</v>
      </c>
      <c r="G48" s="8" t="s">
        <v>2330</v>
      </c>
      <c r="H48" s="8">
        <v>3836</v>
      </c>
      <c r="I48" s="8"/>
      <c r="J48" s="8">
        <v>2939</v>
      </c>
      <c r="K48" s="8">
        <v>281</v>
      </c>
      <c r="L48" s="8"/>
      <c r="M48" s="8"/>
      <c r="N48" s="8"/>
      <c r="O48" s="9"/>
      <c r="P48" s="9">
        <v>1760</v>
      </c>
      <c r="Q48" s="9"/>
      <c r="R48" s="8" t="s">
        <v>223</v>
      </c>
      <c r="S48" s="8" t="s">
        <v>218</v>
      </c>
      <c r="T48" s="19" t="s">
        <v>2330</v>
      </c>
      <c r="U48" s="8"/>
      <c r="V48" s="8">
        <v>3836</v>
      </c>
      <c r="W48" s="8"/>
      <c r="X48" s="8">
        <v>2939</v>
      </c>
      <c r="Y48" s="8">
        <v>281</v>
      </c>
      <c r="Z48" s="21"/>
      <c r="AA48" s="8"/>
      <c r="AB48" s="8"/>
      <c r="AC48" s="8"/>
      <c r="AD48" s="8">
        <v>1760</v>
      </c>
      <c r="AF48" s="8"/>
      <c r="AG48" s="17" t="s">
        <v>187</v>
      </c>
    </row>
    <row r="49" spans="1:44" x14ac:dyDescent="0.35">
      <c r="A49" s="8" t="s">
        <v>224</v>
      </c>
      <c r="B49" s="8" t="s">
        <v>82</v>
      </c>
      <c r="C49" s="8" t="s">
        <v>217</v>
      </c>
      <c r="D49" s="8" t="s">
        <v>218</v>
      </c>
      <c r="E49" s="8" t="s">
        <v>225</v>
      </c>
      <c r="F49" s="8" t="s">
        <v>226</v>
      </c>
      <c r="G49" s="8" t="s">
        <v>2331</v>
      </c>
      <c r="H49" s="8">
        <v>4673</v>
      </c>
      <c r="I49" s="8">
        <v>90</v>
      </c>
      <c r="J49" s="8">
        <v>2018</v>
      </c>
      <c r="K49" s="8">
        <v>208</v>
      </c>
      <c r="L49" s="8"/>
      <c r="M49" s="8"/>
      <c r="N49" s="8"/>
      <c r="O49" s="9"/>
      <c r="P49" s="9"/>
      <c r="Q49" s="9"/>
      <c r="R49" s="8" t="s">
        <v>226</v>
      </c>
      <c r="S49" s="8" t="s">
        <v>218</v>
      </c>
      <c r="T49" s="19" t="s">
        <v>2331</v>
      </c>
      <c r="U49" s="8"/>
      <c r="V49" s="8">
        <v>4673</v>
      </c>
      <c r="W49" s="8">
        <v>90</v>
      </c>
      <c r="X49" s="8">
        <v>2018</v>
      </c>
      <c r="Y49" s="8">
        <v>208</v>
      </c>
      <c r="Z49" s="21"/>
      <c r="AA49" s="8"/>
      <c r="AB49" s="8"/>
      <c r="AC49" s="8"/>
      <c r="AD49" s="8"/>
      <c r="AE49" s="8"/>
      <c r="AF49" s="8"/>
      <c r="AG49" s="15" t="s">
        <v>190</v>
      </c>
      <c r="AH49">
        <v>4781</v>
      </c>
      <c r="AJ49">
        <v>3518</v>
      </c>
      <c r="AK49">
        <v>194</v>
      </c>
      <c r="AR49">
        <v>97</v>
      </c>
    </row>
    <row r="50" spans="1:44" x14ac:dyDescent="0.35">
      <c r="A50" s="8" t="s">
        <v>227</v>
      </c>
      <c r="B50" s="8" t="s">
        <v>82</v>
      </c>
      <c r="C50" s="8" t="s">
        <v>228</v>
      </c>
      <c r="D50" s="8" t="s">
        <v>229</v>
      </c>
      <c r="E50" s="8" t="s">
        <v>230</v>
      </c>
      <c r="F50" s="8" t="s">
        <v>231</v>
      </c>
      <c r="G50" s="8" t="s">
        <v>2331</v>
      </c>
      <c r="H50" s="8">
        <v>5130</v>
      </c>
      <c r="I50" s="8"/>
      <c r="J50" s="9"/>
      <c r="K50" s="9">
        <v>108</v>
      </c>
      <c r="L50" s="9"/>
      <c r="M50" s="9"/>
      <c r="N50" s="9"/>
      <c r="O50" s="9"/>
      <c r="P50" s="9">
        <v>1927</v>
      </c>
      <c r="Q50" s="9">
        <v>166</v>
      </c>
      <c r="R50" s="8" t="s">
        <v>231</v>
      </c>
      <c r="S50" s="8" t="s">
        <v>229</v>
      </c>
      <c r="T50" s="19" t="s">
        <v>2331</v>
      </c>
      <c r="U50" s="8" t="s">
        <v>2324</v>
      </c>
      <c r="V50" s="8">
        <v>3324</v>
      </c>
      <c r="W50" s="8"/>
      <c r="X50" s="8"/>
      <c r="Y50" s="8">
        <v>59</v>
      </c>
      <c r="Z50" s="21"/>
      <c r="AA50" s="8"/>
      <c r="AB50" s="8"/>
      <c r="AC50" s="8"/>
      <c r="AD50" s="8">
        <v>1517</v>
      </c>
      <c r="AE50">
        <v>58</v>
      </c>
      <c r="AF50" s="8"/>
      <c r="AG50" s="15" t="s">
        <v>193</v>
      </c>
      <c r="AH50">
        <v>3923</v>
      </c>
      <c r="AJ50">
        <v>2633</v>
      </c>
      <c r="AK50">
        <v>86</v>
      </c>
      <c r="AM50">
        <v>114</v>
      </c>
      <c r="AR50">
        <v>80</v>
      </c>
    </row>
    <row r="51" spans="1:44" x14ac:dyDescent="0.35">
      <c r="A51" s="8" t="s">
        <v>232</v>
      </c>
      <c r="B51" s="8" t="s">
        <v>82</v>
      </c>
      <c r="C51" s="8" t="s">
        <v>228</v>
      </c>
      <c r="D51" s="8" t="s">
        <v>229</v>
      </c>
      <c r="E51" s="8" t="s">
        <v>233</v>
      </c>
      <c r="F51" s="8" t="s">
        <v>67</v>
      </c>
      <c r="G51" s="8" t="s">
        <v>2331</v>
      </c>
      <c r="H51" s="8">
        <v>4243</v>
      </c>
      <c r="I51" s="8">
        <v>266</v>
      </c>
      <c r="J51" s="9">
        <v>1177</v>
      </c>
      <c r="K51" s="9">
        <v>117</v>
      </c>
      <c r="L51" s="9"/>
      <c r="M51" s="9"/>
      <c r="N51" s="9"/>
      <c r="O51" s="9"/>
      <c r="P51" s="9">
        <v>804</v>
      </c>
      <c r="Q51" s="9"/>
      <c r="R51" s="8" t="s">
        <v>68</v>
      </c>
      <c r="S51" s="8" t="s">
        <v>229</v>
      </c>
      <c r="T51" s="19" t="s">
        <v>2331</v>
      </c>
      <c r="U51" s="8" t="s">
        <v>2324</v>
      </c>
      <c r="V51" s="8">
        <v>3497</v>
      </c>
      <c r="W51" s="8">
        <v>205</v>
      </c>
      <c r="X51" s="8">
        <v>947</v>
      </c>
      <c r="Y51" s="8">
        <v>100</v>
      </c>
      <c r="Z51" s="21"/>
      <c r="AA51" s="8"/>
      <c r="AB51" s="8"/>
      <c r="AC51" s="8"/>
      <c r="AD51" s="8">
        <v>730</v>
      </c>
      <c r="AE51">
        <v>1</v>
      </c>
      <c r="AF51" s="8"/>
      <c r="AG51" s="15" t="s">
        <v>196</v>
      </c>
      <c r="AH51">
        <v>3784</v>
      </c>
      <c r="AI51">
        <v>206</v>
      </c>
      <c r="AJ51">
        <v>3731</v>
      </c>
      <c r="AK51">
        <v>134</v>
      </c>
      <c r="AR51">
        <v>104</v>
      </c>
    </row>
    <row r="52" spans="1:44" x14ac:dyDescent="0.35">
      <c r="A52" s="8"/>
      <c r="B52" s="8"/>
      <c r="C52" s="8"/>
      <c r="D52" s="8"/>
      <c r="E52" s="8"/>
      <c r="F52" s="8"/>
      <c r="G52" s="8"/>
      <c r="H52" s="8"/>
      <c r="I52" s="8"/>
      <c r="J52" s="9"/>
      <c r="K52" s="9"/>
      <c r="L52" s="9"/>
      <c r="M52" s="9"/>
      <c r="N52" s="9"/>
      <c r="O52" s="9"/>
      <c r="P52" s="9"/>
      <c r="Q52" s="9"/>
      <c r="R52" s="8" t="s">
        <v>50</v>
      </c>
      <c r="S52" s="8" t="s">
        <v>229</v>
      </c>
      <c r="T52" s="19" t="s">
        <v>2331</v>
      </c>
      <c r="U52" s="8" t="s">
        <v>2324</v>
      </c>
      <c r="V52" s="8">
        <v>3453</v>
      </c>
      <c r="W52" s="8">
        <v>64</v>
      </c>
      <c r="X52" s="8">
        <v>268</v>
      </c>
      <c r="Y52" s="8">
        <v>133</v>
      </c>
      <c r="Z52" s="21"/>
      <c r="AA52" s="8"/>
      <c r="AB52" s="8"/>
      <c r="AC52" s="8"/>
      <c r="AD52" s="8">
        <v>503</v>
      </c>
      <c r="AE52">
        <v>107</v>
      </c>
      <c r="AF52" s="8"/>
      <c r="AG52" s="17" t="s">
        <v>198</v>
      </c>
    </row>
    <row r="53" spans="1:44" x14ac:dyDescent="0.35">
      <c r="A53" s="8" t="s">
        <v>234</v>
      </c>
      <c r="B53" s="8" t="s">
        <v>82</v>
      </c>
      <c r="C53" s="8" t="s">
        <v>235</v>
      </c>
      <c r="D53" s="8" t="s">
        <v>236</v>
      </c>
      <c r="E53" s="8" t="s">
        <v>237</v>
      </c>
      <c r="F53" s="8" t="s">
        <v>238</v>
      </c>
      <c r="G53" s="8" t="s">
        <v>2331</v>
      </c>
      <c r="H53" s="8">
        <v>5199</v>
      </c>
      <c r="I53" s="8"/>
      <c r="J53" s="8"/>
      <c r="K53" s="8">
        <v>183</v>
      </c>
      <c r="L53" s="8"/>
      <c r="M53" s="8"/>
      <c r="N53" s="8"/>
      <c r="O53" s="9"/>
      <c r="P53" s="9">
        <v>203</v>
      </c>
      <c r="Q53" s="9"/>
      <c r="R53" s="8" t="s">
        <v>238</v>
      </c>
      <c r="S53" s="8" t="s">
        <v>236</v>
      </c>
      <c r="T53" s="19" t="s">
        <v>2331</v>
      </c>
      <c r="U53" s="8"/>
      <c r="V53" s="8">
        <v>4439</v>
      </c>
      <c r="W53" s="8"/>
      <c r="X53" s="8"/>
      <c r="Y53" s="8">
        <v>119</v>
      </c>
      <c r="Z53" s="21"/>
      <c r="AA53" s="8"/>
      <c r="AB53" s="8"/>
      <c r="AC53" s="8"/>
      <c r="AD53" s="8">
        <v>184</v>
      </c>
      <c r="AF53" s="8"/>
      <c r="AG53" s="15" t="s">
        <v>204</v>
      </c>
      <c r="AH53">
        <v>3170</v>
      </c>
      <c r="AJ53">
        <v>1358</v>
      </c>
      <c r="AK53">
        <v>151</v>
      </c>
      <c r="AP53">
        <v>2461</v>
      </c>
      <c r="AR53">
        <v>63</v>
      </c>
    </row>
    <row r="54" spans="1:44" x14ac:dyDescent="0.35">
      <c r="A54" s="8" t="s">
        <v>239</v>
      </c>
      <c r="B54" s="8" t="s">
        <v>82</v>
      </c>
      <c r="C54" s="8" t="s">
        <v>235</v>
      </c>
      <c r="D54" s="8" t="s">
        <v>236</v>
      </c>
      <c r="E54" s="8" t="s">
        <v>240</v>
      </c>
      <c r="F54" s="8" t="s">
        <v>69</v>
      </c>
      <c r="G54" s="8" t="s">
        <v>2331</v>
      </c>
      <c r="H54" s="8">
        <v>5470</v>
      </c>
      <c r="I54" s="8">
        <v>241</v>
      </c>
      <c r="J54" s="8"/>
      <c r="K54" s="8"/>
      <c r="L54" s="8"/>
      <c r="M54" s="8"/>
      <c r="N54" s="8"/>
      <c r="O54" s="9"/>
      <c r="P54" s="9">
        <v>599</v>
      </c>
      <c r="Q54" s="9"/>
      <c r="R54" s="8" t="s">
        <v>70</v>
      </c>
      <c r="S54" s="8" t="s">
        <v>236</v>
      </c>
      <c r="T54" s="19" t="s">
        <v>2331</v>
      </c>
      <c r="U54" s="8"/>
      <c r="V54" s="8">
        <v>4299</v>
      </c>
      <c r="W54" s="8">
        <v>231</v>
      </c>
      <c r="X54" s="8"/>
      <c r="Y54" s="8"/>
      <c r="Z54" s="21"/>
      <c r="AA54" s="8"/>
      <c r="AB54" s="8"/>
      <c r="AC54" s="8"/>
      <c r="AD54" s="8">
        <v>558</v>
      </c>
      <c r="AF54" s="8"/>
      <c r="AG54" s="15" t="s">
        <v>201</v>
      </c>
      <c r="AH54">
        <v>1782</v>
      </c>
      <c r="AJ54">
        <v>2694</v>
      </c>
      <c r="AK54">
        <v>138</v>
      </c>
      <c r="AP54">
        <v>1707</v>
      </c>
      <c r="AR54">
        <v>69</v>
      </c>
    </row>
    <row r="55" spans="1:44" x14ac:dyDescent="0.35">
      <c r="A55" s="8" t="s">
        <v>241</v>
      </c>
      <c r="B55" s="8" t="s">
        <v>82</v>
      </c>
      <c r="C55" s="8" t="s">
        <v>242</v>
      </c>
      <c r="D55" s="8" t="s">
        <v>243</v>
      </c>
      <c r="E55" s="8" t="s">
        <v>244</v>
      </c>
      <c r="F55" s="8" t="s">
        <v>245</v>
      </c>
      <c r="G55" s="8" t="s">
        <v>2329</v>
      </c>
      <c r="H55" s="8">
        <v>9835</v>
      </c>
      <c r="I55" s="8">
        <v>2720</v>
      </c>
      <c r="J55" s="8"/>
      <c r="K55" s="8">
        <v>737</v>
      </c>
      <c r="L55" s="8">
        <v>214</v>
      </c>
      <c r="M55" s="8"/>
      <c r="N55" s="8"/>
      <c r="O55" s="9"/>
      <c r="P55" s="9"/>
      <c r="Q55" s="9"/>
      <c r="R55" s="8" t="s">
        <v>245</v>
      </c>
      <c r="S55" s="8" t="s">
        <v>243</v>
      </c>
      <c r="T55" s="19" t="s">
        <v>2329</v>
      </c>
      <c r="U55" s="8"/>
      <c r="V55" s="8">
        <v>9835</v>
      </c>
      <c r="W55" s="8">
        <v>2720</v>
      </c>
      <c r="X55" s="8"/>
      <c r="Y55" s="8">
        <v>737</v>
      </c>
      <c r="Z55" s="21">
        <v>214</v>
      </c>
      <c r="AA55" s="8"/>
      <c r="AB55" s="8"/>
      <c r="AC55" s="8"/>
      <c r="AD55" s="8"/>
      <c r="AE55" s="8"/>
      <c r="AF55" s="8"/>
      <c r="AG55" s="17" t="s">
        <v>206</v>
      </c>
    </row>
    <row r="56" spans="1:44" x14ac:dyDescent="0.35">
      <c r="A56" s="8" t="s">
        <v>246</v>
      </c>
      <c r="B56" s="8" t="s">
        <v>82</v>
      </c>
      <c r="C56" s="8" t="s">
        <v>242</v>
      </c>
      <c r="D56" s="8" t="s">
        <v>243</v>
      </c>
      <c r="E56" s="8" t="s">
        <v>247</v>
      </c>
      <c r="F56" s="8" t="s">
        <v>248</v>
      </c>
      <c r="G56" s="8" t="s">
        <v>2329</v>
      </c>
      <c r="H56" s="8">
        <v>6689</v>
      </c>
      <c r="I56" s="8">
        <v>805</v>
      </c>
      <c r="J56" s="8">
        <v>3453</v>
      </c>
      <c r="K56" s="8">
        <v>622</v>
      </c>
      <c r="L56" s="8"/>
      <c r="M56" s="8"/>
      <c r="N56" s="8"/>
      <c r="O56" s="9"/>
      <c r="P56" s="9"/>
      <c r="Q56" s="9"/>
      <c r="R56" s="8" t="s">
        <v>248</v>
      </c>
      <c r="S56" s="8" t="s">
        <v>243</v>
      </c>
      <c r="T56" s="19" t="s">
        <v>2329</v>
      </c>
      <c r="U56" s="8"/>
      <c r="V56" s="8">
        <v>6548</v>
      </c>
      <c r="W56" s="8">
        <v>802</v>
      </c>
      <c r="X56" s="8">
        <v>3415</v>
      </c>
      <c r="Y56" s="8">
        <v>619</v>
      </c>
      <c r="Z56" s="21"/>
      <c r="AA56" s="8"/>
      <c r="AB56" s="8"/>
      <c r="AC56" s="8"/>
      <c r="AD56" s="8"/>
      <c r="AE56" s="8"/>
      <c r="AF56" s="8"/>
      <c r="AG56" s="15" t="s">
        <v>215</v>
      </c>
      <c r="AH56">
        <v>5316</v>
      </c>
      <c r="AI56">
        <v>136</v>
      </c>
      <c r="AJ56">
        <v>1383</v>
      </c>
      <c r="AR56">
        <v>75</v>
      </c>
    </row>
    <row r="57" spans="1:44" x14ac:dyDescent="0.35">
      <c r="A57" s="8" t="s">
        <v>249</v>
      </c>
      <c r="B57" s="8" t="s">
        <v>82</v>
      </c>
      <c r="C57" s="8" t="s">
        <v>250</v>
      </c>
      <c r="D57" s="8" t="s">
        <v>251</v>
      </c>
      <c r="E57" s="8" t="s">
        <v>252</v>
      </c>
      <c r="F57" s="8" t="s">
        <v>253</v>
      </c>
      <c r="G57" s="8" t="s">
        <v>2331</v>
      </c>
      <c r="H57" s="8">
        <v>3181</v>
      </c>
      <c r="I57" s="8"/>
      <c r="J57" s="8">
        <v>1476</v>
      </c>
      <c r="K57" s="8">
        <v>133</v>
      </c>
      <c r="L57" s="8"/>
      <c r="M57" s="8"/>
      <c r="N57" s="8"/>
      <c r="O57" s="9"/>
      <c r="P57" s="9">
        <v>2526</v>
      </c>
      <c r="Q57" s="9">
        <v>503</v>
      </c>
      <c r="R57" s="8" t="s">
        <v>253</v>
      </c>
      <c r="S57" s="8" t="s">
        <v>251</v>
      </c>
      <c r="T57" s="19" t="s">
        <v>2331</v>
      </c>
      <c r="U57" s="8"/>
      <c r="V57">
        <v>3181</v>
      </c>
      <c r="X57">
        <v>1476</v>
      </c>
      <c r="Y57">
        <v>133</v>
      </c>
      <c r="Z57"/>
      <c r="AD57">
        <v>2526</v>
      </c>
      <c r="AE57">
        <v>503</v>
      </c>
      <c r="AG57" s="15" t="s">
        <v>212</v>
      </c>
      <c r="AH57">
        <v>4077</v>
      </c>
      <c r="AJ57">
        <v>2379</v>
      </c>
      <c r="AK57">
        <v>10</v>
      </c>
      <c r="AP57">
        <v>304</v>
      </c>
      <c r="AR57">
        <v>114</v>
      </c>
    </row>
    <row r="58" spans="1:44" x14ac:dyDescent="0.35">
      <c r="A58" s="8" t="s">
        <v>254</v>
      </c>
      <c r="B58" s="8" t="s">
        <v>82</v>
      </c>
      <c r="C58" s="8" t="s">
        <v>250</v>
      </c>
      <c r="D58" s="8" t="s">
        <v>251</v>
      </c>
      <c r="E58" s="8" t="s">
        <v>255</v>
      </c>
      <c r="F58" s="8" t="s">
        <v>256</v>
      </c>
      <c r="G58" s="8" t="s">
        <v>2330</v>
      </c>
      <c r="H58" s="8">
        <v>5135</v>
      </c>
      <c r="I58" s="8"/>
      <c r="J58" s="8">
        <v>4391</v>
      </c>
      <c r="K58" s="8">
        <v>185</v>
      </c>
      <c r="L58" s="8"/>
      <c r="M58" s="8"/>
      <c r="N58" s="8"/>
      <c r="O58" s="9"/>
      <c r="P58" s="9"/>
      <c r="Q58" s="9"/>
      <c r="R58" s="8" t="s">
        <v>256</v>
      </c>
      <c r="S58" s="8" t="s">
        <v>251</v>
      </c>
      <c r="T58" s="19" t="s">
        <v>2330</v>
      </c>
      <c r="U58" s="8"/>
      <c r="V58" s="8">
        <v>5135</v>
      </c>
      <c r="W58" s="8"/>
      <c r="X58" s="8">
        <v>4391</v>
      </c>
      <c r="Y58" s="8">
        <v>185</v>
      </c>
      <c r="Z58" s="21"/>
      <c r="AA58" s="8"/>
      <c r="AB58" s="8"/>
      <c r="AC58" s="8"/>
      <c r="AD58" s="8"/>
      <c r="AE58" s="8"/>
      <c r="AF58" s="8"/>
      <c r="AG58" s="15" t="s">
        <v>209</v>
      </c>
      <c r="AH58">
        <v>5053</v>
      </c>
      <c r="AI58">
        <v>1889</v>
      </c>
      <c r="AJ58">
        <v>667</v>
      </c>
      <c r="AK58">
        <v>74</v>
      </c>
      <c r="AN58">
        <v>60</v>
      </c>
      <c r="AR58">
        <v>132</v>
      </c>
    </row>
    <row r="59" spans="1:44" x14ac:dyDescent="0.35">
      <c r="A59" s="8" t="s">
        <v>257</v>
      </c>
      <c r="B59" s="8" t="s">
        <v>82</v>
      </c>
      <c r="C59" s="8" t="s">
        <v>258</v>
      </c>
      <c r="D59" s="8" t="s">
        <v>259</v>
      </c>
      <c r="E59" s="8" t="s">
        <v>260</v>
      </c>
      <c r="F59" s="8" t="s">
        <v>261</v>
      </c>
      <c r="G59" s="8" t="s">
        <v>2333</v>
      </c>
      <c r="H59" s="8">
        <v>3135</v>
      </c>
      <c r="I59" s="8">
        <v>258</v>
      </c>
      <c r="J59" s="8">
        <v>2905</v>
      </c>
      <c r="K59" s="8">
        <v>169</v>
      </c>
      <c r="L59" s="8"/>
      <c r="M59" s="8">
        <v>352</v>
      </c>
      <c r="N59" s="8"/>
      <c r="O59" s="9"/>
      <c r="P59" s="9"/>
      <c r="Q59" s="9"/>
      <c r="R59" s="8" t="s">
        <v>261</v>
      </c>
      <c r="S59" s="8" t="s">
        <v>259</v>
      </c>
      <c r="T59" s="19" t="s">
        <v>2333</v>
      </c>
      <c r="U59" s="8"/>
      <c r="V59" s="8">
        <v>3135</v>
      </c>
      <c r="W59" s="8">
        <v>258</v>
      </c>
      <c r="X59" s="8">
        <v>2905</v>
      </c>
      <c r="Y59" s="8">
        <v>169</v>
      </c>
      <c r="Z59" s="21"/>
      <c r="AA59" s="8">
        <v>352</v>
      </c>
      <c r="AB59" s="8"/>
      <c r="AC59" s="8"/>
      <c r="AD59" s="8"/>
      <c r="AE59" s="8"/>
      <c r="AF59" s="8"/>
      <c r="AG59" s="17" t="s">
        <v>217</v>
      </c>
    </row>
    <row r="60" spans="1:44" x14ac:dyDescent="0.35">
      <c r="A60" s="8" t="s">
        <v>262</v>
      </c>
      <c r="B60" s="8" t="s">
        <v>82</v>
      </c>
      <c r="C60" s="8" t="s">
        <v>258</v>
      </c>
      <c r="D60" s="8" t="s">
        <v>259</v>
      </c>
      <c r="E60" s="8" t="s">
        <v>263</v>
      </c>
      <c r="F60" s="8" t="s">
        <v>264</v>
      </c>
      <c r="G60" s="8" t="s">
        <v>2331</v>
      </c>
      <c r="H60" s="8">
        <v>4025</v>
      </c>
      <c r="I60" s="8">
        <v>1259</v>
      </c>
      <c r="J60" s="8">
        <v>2035</v>
      </c>
      <c r="K60" s="8">
        <v>199</v>
      </c>
      <c r="L60" s="8">
        <v>52</v>
      </c>
      <c r="M60" s="8"/>
      <c r="N60" s="8"/>
      <c r="O60" s="9"/>
      <c r="P60" s="9"/>
      <c r="Q60" s="9"/>
      <c r="R60" s="8" t="s">
        <v>264</v>
      </c>
      <c r="S60" s="8" t="s">
        <v>259</v>
      </c>
      <c r="T60" s="19" t="s">
        <v>2331</v>
      </c>
      <c r="U60" s="8"/>
      <c r="V60" s="8">
        <v>4025</v>
      </c>
      <c r="W60" s="8">
        <v>1259</v>
      </c>
      <c r="X60" s="8">
        <v>2035</v>
      </c>
      <c r="Y60" s="8">
        <v>199</v>
      </c>
      <c r="Z60" s="21">
        <v>52</v>
      </c>
      <c r="AA60" s="8"/>
      <c r="AB60" s="8"/>
      <c r="AC60" s="8"/>
      <c r="AD60" s="8"/>
      <c r="AE60" s="8"/>
      <c r="AF60" s="8"/>
      <c r="AG60" s="15" t="s">
        <v>226</v>
      </c>
      <c r="AH60">
        <v>4673</v>
      </c>
      <c r="AI60">
        <v>90</v>
      </c>
      <c r="AJ60">
        <v>2018</v>
      </c>
      <c r="AK60">
        <v>208</v>
      </c>
      <c r="AR60">
        <v>73</v>
      </c>
    </row>
    <row r="61" spans="1:44" x14ac:dyDescent="0.35">
      <c r="A61" s="8" t="s">
        <v>265</v>
      </c>
      <c r="B61" s="8" t="s">
        <v>82</v>
      </c>
      <c r="C61" s="8" t="s">
        <v>266</v>
      </c>
      <c r="D61" s="8" t="s">
        <v>267</v>
      </c>
      <c r="E61" s="8" t="s">
        <v>268</v>
      </c>
      <c r="F61" s="8" t="s">
        <v>269</v>
      </c>
      <c r="G61" s="8" t="s">
        <v>2329</v>
      </c>
      <c r="H61" s="8">
        <v>4478</v>
      </c>
      <c r="I61" s="8">
        <v>3781</v>
      </c>
      <c r="J61" s="9">
        <v>1747</v>
      </c>
      <c r="K61" s="9">
        <v>2587</v>
      </c>
      <c r="L61" s="9">
        <v>209</v>
      </c>
      <c r="M61" s="9"/>
      <c r="N61" s="9"/>
      <c r="O61" s="9"/>
      <c r="P61" s="9">
        <v>308</v>
      </c>
      <c r="Q61" s="9"/>
      <c r="R61" s="8" t="s">
        <v>269</v>
      </c>
      <c r="S61" s="8" t="s">
        <v>267</v>
      </c>
      <c r="T61" s="19" t="s">
        <v>2332</v>
      </c>
      <c r="U61" s="23" t="s">
        <v>2322</v>
      </c>
      <c r="V61" s="8">
        <v>2687</v>
      </c>
      <c r="W61" s="8">
        <v>3135</v>
      </c>
      <c r="X61" s="8">
        <v>1394</v>
      </c>
      <c r="Y61" s="8">
        <v>2108</v>
      </c>
      <c r="Z61" s="21">
        <v>156</v>
      </c>
      <c r="AA61" s="8"/>
      <c r="AB61" s="8"/>
      <c r="AC61" s="8"/>
      <c r="AD61" s="8">
        <v>214</v>
      </c>
      <c r="AF61" s="8"/>
      <c r="AG61" s="15" t="s">
        <v>220</v>
      </c>
      <c r="AH61">
        <v>3809</v>
      </c>
      <c r="AJ61">
        <v>1008</v>
      </c>
      <c r="AK61">
        <v>454</v>
      </c>
      <c r="AR61">
        <v>133</v>
      </c>
    </row>
    <row r="62" spans="1:44" x14ac:dyDescent="0.35">
      <c r="A62" s="8" t="s">
        <v>270</v>
      </c>
      <c r="B62" s="8" t="s">
        <v>82</v>
      </c>
      <c r="C62" s="8" t="s">
        <v>266</v>
      </c>
      <c r="D62" s="8" t="s">
        <v>267</v>
      </c>
      <c r="E62" s="8" t="s">
        <v>271</v>
      </c>
      <c r="F62" s="8" t="s">
        <v>272</v>
      </c>
      <c r="G62" s="8" t="s">
        <v>2330</v>
      </c>
      <c r="H62" s="8">
        <v>9004</v>
      </c>
      <c r="I62" s="8">
        <v>2707</v>
      </c>
      <c r="J62" s="9">
        <v>3544</v>
      </c>
      <c r="K62" s="9">
        <v>1768</v>
      </c>
      <c r="L62" s="9">
        <v>212</v>
      </c>
      <c r="M62" s="9">
        <v>884</v>
      </c>
      <c r="N62" s="9"/>
      <c r="O62" s="9"/>
      <c r="P62" s="9">
        <v>1155</v>
      </c>
      <c r="Q62" s="9">
        <v>223</v>
      </c>
      <c r="R62" s="8" t="s">
        <v>272</v>
      </c>
      <c r="S62" s="8" t="s">
        <v>267</v>
      </c>
      <c r="T62" s="19" t="s">
        <v>2330</v>
      </c>
      <c r="U62" s="8" t="s">
        <v>2323</v>
      </c>
      <c r="V62" s="8">
        <v>7220</v>
      </c>
      <c r="W62" s="8">
        <v>1221</v>
      </c>
      <c r="X62" s="8">
        <v>1768</v>
      </c>
      <c r="Y62" s="8">
        <v>990</v>
      </c>
      <c r="Z62" s="21">
        <v>104</v>
      </c>
      <c r="AA62" s="8">
        <v>414</v>
      </c>
      <c r="AB62" s="8"/>
      <c r="AC62" s="8"/>
      <c r="AD62" s="8">
        <v>799</v>
      </c>
      <c r="AE62" s="8">
        <v>143</v>
      </c>
      <c r="AF62" s="8"/>
      <c r="AG62" s="15" t="s">
        <v>223</v>
      </c>
      <c r="AH62">
        <v>3836</v>
      </c>
      <c r="AJ62">
        <v>2939</v>
      </c>
      <c r="AK62">
        <v>281</v>
      </c>
      <c r="AP62">
        <v>1760</v>
      </c>
      <c r="AR62">
        <v>102</v>
      </c>
    </row>
    <row r="63" spans="1:44" x14ac:dyDescent="0.35">
      <c r="A63" s="8"/>
      <c r="B63" s="8"/>
      <c r="C63" s="8"/>
      <c r="D63" s="8"/>
      <c r="E63" s="8"/>
      <c r="F63" s="8"/>
      <c r="G63" s="8"/>
      <c r="H63" s="8"/>
      <c r="I63" s="8"/>
      <c r="J63" s="9"/>
      <c r="K63" s="9"/>
      <c r="L63" s="9"/>
      <c r="M63" s="9"/>
      <c r="N63" s="9"/>
      <c r="O63" s="9"/>
      <c r="P63" s="9"/>
      <c r="Q63" s="9"/>
      <c r="R63" s="8" t="s">
        <v>51</v>
      </c>
      <c r="S63" s="8" t="s">
        <v>267</v>
      </c>
      <c r="T63" s="19" t="s">
        <v>2329</v>
      </c>
      <c r="U63" s="8" t="s">
        <v>2322</v>
      </c>
      <c r="V63" s="8">
        <v>5711</v>
      </c>
      <c r="W63" s="8">
        <v>2154</v>
      </c>
      <c r="X63" s="8">
        <v>2269</v>
      </c>
      <c r="Y63" s="8">
        <v>1310</v>
      </c>
      <c r="Z63" s="21">
        <v>161</v>
      </c>
      <c r="AA63" s="8">
        <v>460</v>
      </c>
      <c r="AB63" s="8"/>
      <c r="AC63" s="8"/>
      <c r="AD63" s="8">
        <v>386</v>
      </c>
      <c r="AE63" s="8">
        <v>78</v>
      </c>
      <c r="AF63" s="8"/>
      <c r="AG63" s="17" t="s">
        <v>228</v>
      </c>
    </row>
    <row r="64" spans="1:44" x14ac:dyDescent="0.35">
      <c r="A64" s="8" t="s">
        <v>273</v>
      </c>
      <c r="B64" s="8" t="s">
        <v>82</v>
      </c>
      <c r="C64" s="8" t="s">
        <v>274</v>
      </c>
      <c r="D64" s="8" t="s">
        <v>275</v>
      </c>
      <c r="E64" s="8" t="s">
        <v>276</v>
      </c>
      <c r="F64" s="8" t="s">
        <v>71</v>
      </c>
      <c r="G64" s="8" t="s">
        <v>2312</v>
      </c>
      <c r="H64" s="8">
        <v>4956</v>
      </c>
      <c r="I64" s="8">
        <v>1171</v>
      </c>
      <c r="J64" s="9">
        <v>5897</v>
      </c>
      <c r="K64" s="9">
        <v>951</v>
      </c>
      <c r="L64" s="9"/>
      <c r="M64" s="9"/>
      <c r="N64" s="9"/>
      <c r="O64" s="9"/>
      <c r="P64" s="9">
        <v>640</v>
      </c>
      <c r="Q64" s="9"/>
      <c r="R64" s="8" t="s">
        <v>72</v>
      </c>
      <c r="S64" s="8" t="s">
        <v>275</v>
      </c>
      <c r="T64" s="19" t="s">
        <v>2488</v>
      </c>
      <c r="U64" s="23" t="s">
        <v>2322</v>
      </c>
      <c r="V64" s="8">
        <v>3794</v>
      </c>
      <c r="W64" s="8">
        <v>1053</v>
      </c>
      <c r="X64" s="8">
        <v>4591</v>
      </c>
      <c r="Y64" s="8">
        <v>849</v>
      </c>
      <c r="Z64" s="21"/>
      <c r="AA64" s="8"/>
      <c r="AB64" s="8"/>
      <c r="AC64" s="8"/>
      <c r="AD64" s="8">
        <v>399</v>
      </c>
      <c r="AF64" s="8"/>
      <c r="AG64" s="15" t="s">
        <v>231</v>
      </c>
      <c r="AH64">
        <v>3324</v>
      </c>
      <c r="AK64">
        <v>59</v>
      </c>
      <c r="AP64">
        <v>1517</v>
      </c>
      <c r="AQ64">
        <v>58</v>
      </c>
      <c r="AR64">
        <v>62</v>
      </c>
    </row>
    <row r="65" spans="1:44" x14ac:dyDescent="0.35">
      <c r="A65" s="8" t="s">
        <v>277</v>
      </c>
      <c r="B65" s="8" t="s">
        <v>82</v>
      </c>
      <c r="C65" s="8" t="s">
        <v>274</v>
      </c>
      <c r="D65" s="8" t="s">
        <v>275</v>
      </c>
      <c r="E65" s="8" t="s">
        <v>278</v>
      </c>
      <c r="F65" s="8" t="s">
        <v>279</v>
      </c>
      <c r="G65" s="22" t="s">
        <v>2332</v>
      </c>
      <c r="H65" s="8">
        <v>4148</v>
      </c>
      <c r="I65" s="8">
        <v>4280</v>
      </c>
      <c r="J65" s="9">
        <v>3708</v>
      </c>
      <c r="K65" s="9">
        <v>3131</v>
      </c>
      <c r="L65" s="9">
        <v>301</v>
      </c>
      <c r="M65" s="9"/>
      <c r="N65" s="9"/>
      <c r="O65" s="9"/>
      <c r="P65" s="9"/>
      <c r="Q65" s="9"/>
      <c r="R65" s="8" t="s">
        <v>279</v>
      </c>
      <c r="S65" s="8" t="s">
        <v>275</v>
      </c>
      <c r="T65" s="19" t="s">
        <v>2329</v>
      </c>
      <c r="U65" s="8" t="s">
        <v>2322</v>
      </c>
      <c r="V65">
        <v>2566</v>
      </c>
      <c r="W65">
        <v>2412</v>
      </c>
      <c r="X65">
        <v>2178</v>
      </c>
      <c r="Y65">
        <v>1923</v>
      </c>
      <c r="Z65">
        <v>165</v>
      </c>
      <c r="AG65" s="15" t="s">
        <v>68</v>
      </c>
      <c r="AH65">
        <v>3497</v>
      </c>
      <c r="AI65">
        <v>205</v>
      </c>
      <c r="AJ65">
        <v>947</v>
      </c>
      <c r="AK65">
        <v>100</v>
      </c>
      <c r="AP65">
        <v>730</v>
      </c>
      <c r="AQ65">
        <v>1</v>
      </c>
      <c r="AR65">
        <v>84</v>
      </c>
    </row>
    <row r="66" spans="1:44" x14ac:dyDescent="0.35">
      <c r="A66" s="8" t="s">
        <v>280</v>
      </c>
      <c r="B66" s="8" t="s">
        <v>82</v>
      </c>
      <c r="C66" s="8" t="s">
        <v>274</v>
      </c>
      <c r="D66" s="8" t="s">
        <v>275</v>
      </c>
      <c r="E66" s="8" t="s">
        <v>281</v>
      </c>
      <c r="F66" s="8" t="s">
        <v>282</v>
      </c>
      <c r="G66" s="8" t="s">
        <v>2331</v>
      </c>
      <c r="H66" s="8">
        <v>11477</v>
      </c>
      <c r="I66" s="8"/>
      <c r="J66" s="9">
        <v>1245</v>
      </c>
      <c r="K66" s="9">
        <v>1016</v>
      </c>
      <c r="L66" s="9"/>
      <c r="M66" s="9"/>
      <c r="N66" s="9"/>
      <c r="O66" s="9"/>
      <c r="P66" s="9"/>
      <c r="Q66" s="9"/>
      <c r="R66" s="8" t="s">
        <v>282</v>
      </c>
      <c r="S66" s="8" t="s">
        <v>275</v>
      </c>
      <c r="T66" s="19" t="s">
        <v>2331</v>
      </c>
      <c r="U66" s="8" t="s">
        <v>2324</v>
      </c>
      <c r="V66">
        <v>5790</v>
      </c>
      <c r="W66">
        <v>79</v>
      </c>
      <c r="X66">
        <v>1549</v>
      </c>
      <c r="Y66">
        <v>357</v>
      </c>
      <c r="Z66"/>
      <c r="AD66">
        <v>241</v>
      </c>
      <c r="AF66" s="8"/>
      <c r="AG66" s="15" t="s">
        <v>50</v>
      </c>
      <c r="AH66">
        <v>3453</v>
      </c>
      <c r="AI66">
        <v>64</v>
      </c>
      <c r="AJ66">
        <v>268</v>
      </c>
      <c r="AK66">
        <v>133</v>
      </c>
      <c r="AP66">
        <v>503</v>
      </c>
      <c r="AQ66">
        <v>107</v>
      </c>
      <c r="AR66">
        <v>58</v>
      </c>
    </row>
    <row r="67" spans="1:44" x14ac:dyDescent="0.35">
      <c r="A67" s="8"/>
      <c r="B67" s="8"/>
      <c r="C67" s="8"/>
      <c r="D67" s="8"/>
      <c r="E67" s="8"/>
      <c r="F67" s="8"/>
      <c r="G67" s="8"/>
      <c r="H67" s="8"/>
      <c r="I67" s="8"/>
      <c r="J67" s="9"/>
      <c r="K67" s="9"/>
      <c r="L67" s="9"/>
      <c r="M67" s="9"/>
      <c r="N67" s="9"/>
      <c r="O67" s="9"/>
      <c r="P67" s="9"/>
      <c r="Q67" s="9"/>
      <c r="R67" s="8" t="s">
        <v>52</v>
      </c>
      <c r="S67" s="8" t="s">
        <v>275</v>
      </c>
      <c r="T67" s="19" t="s">
        <v>2332</v>
      </c>
      <c r="U67" s="8" t="s">
        <v>2322</v>
      </c>
      <c r="V67" s="8">
        <v>1823</v>
      </c>
      <c r="W67" s="8">
        <v>1868</v>
      </c>
      <c r="X67" s="8">
        <v>1698</v>
      </c>
      <c r="Y67" s="8">
        <v>1396</v>
      </c>
      <c r="Z67" s="21">
        <v>136</v>
      </c>
      <c r="AA67" s="8"/>
      <c r="AB67" s="8"/>
      <c r="AC67" s="8"/>
      <c r="AD67" s="8"/>
      <c r="AE67" s="8"/>
      <c r="AF67" s="8"/>
      <c r="AG67" s="17" t="s">
        <v>235</v>
      </c>
    </row>
    <row r="68" spans="1:44" x14ac:dyDescent="0.35">
      <c r="A68" s="8"/>
      <c r="B68" s="8"/>
      <c r="C68" s="8"/>
      <c r="D68" s="8"/>
      <c r="E68" s="8"/>
      <c r="F68" s="8"/>
      <c r="G68" s="8"/>
      <c r="H68" s="8"/>
      <c r="I68" s="8"/>
      <c r="J68" s="9"/>
      <c r="K68" s="9"/>
      <c r="L68" s="9"/>
      <c r="M68" s="9"/>
      <c r="N68" s="9"/>
      <c r="O68" s="9"/>
      <c r="P68" s="9"/>
      <c r="Q68" s="9"/>
      <c r="R68" s="8" t="s">
        <v>53</v>
      </c>
      <c r="S68" s="8" t="s">
        <v>275</v>
      </c>
      <c r="T68" s="19" t="s">
        <v>2331</v>
      </c>
      <c r="U68" s="8" t="s">
        <v>2324</v>
      </c>
      <c r="V68" s="8">
        <v>4472</v>
      </c>
      <c r="W68" s="8">
        <v>17</v>
      </c>
      <c r="X68" s="8">
        <v>694</v>
      </c>
      <c r="Y68" s="8">
        <v>520</v>
      </c>
      <c r="Z68" s="21">
        <v>0</v>
      </c>
      <c r="AA68" s="8">
        <v>10</v>
      </c>
      <c r="AB68" s="8"/>
      <c r="AC68" s="8"/>
      <c r="AD68" s="8">
        <v>64</v>
      </c>
      <c r="AE68" s="8">
        <v>2</v>
      </c>
      <c r="AF68" s="8"/>
      <c r="AG68" s="15" t="s">
        <v>238</v>
      </c>
      <c r="AH68">
        <v>4439</v>
      </c>
      <c r="AK68">
        <v>119</v>
      </c>
      <c r="AP68">
        <v>184</v>
      </c>
      <c r="AR68">
        <v>79</v>
      </c>
    </row>
    <row r="69" spans="1:44" x14ac:dyDescent="0.35">
      <c r="A69" s="8" t="s">
        <v>283</v>
      </c>
      <c r="B69" s="8" t="s">
        <v>82</v>
      </c>
      <c r="C69" s="8" t="s">
        <v>284</v>
      </c>
      <c r="D69" s="8" t="s">
        <v>285</v>
      </c>
      <c r="E69" s="8" t="s">
        <v>286</v>
      </c>
      <c r="F69" s="8" t="s">
        <v>287</v>
      </c>
      <c r="G69" s="8" t="s">
        <v>2331</v>
      </c>
      <c r="H69" s="8">
        <v>6901</v>
      </c>
      <c r="I69" s="8"/>
      <c r="J69" s="9"/>
      <c r="K69" s="9">
        <v>455</v>
      </c>
      <c r="L69" s="9"/>
      <c r="M69" s="9"/>
      <c r="N69" s="9"/>
      <c r="O69" s="9"/>
      <c r="P69" s="9"/>
      <c r="Q69" s="9"/>
      <c r="R69" s="8" t="s">
        <v>287</v>
      </c>
      <c r="S69" s="8" t="s">
        <v>285</v>
      </c>
      <c r="T69" s="19" t="s">
        <v>2331</v>
      </c>
      <c r="U69" s="8" t="s">
        <v>2324</v>
      </c>
      <c r="V69" s="8">
        <v>4240</v>
      </c>
      <c r="W69" s="8">
        <v>37</v>
      </c>
      <c r="X69" s="8">
        <v>185</v>
      </c>
      <c r="Y69" s="8">
        <v>288</v>
      </c>
      <c r="Z69" s="21"/>
      <c r="AA69" s="8"/>
      <c r="AB69" s="8"/>
      <c r="AC69" s="8"/>
      <c r="AD69" s="8"/>
      <c r="AE69" s="8"/>
      <c r="AF69" s="8"/>
      <c r="AG69" s="15" t="s">
        <v>70</v>
      </c>
      <c r="AH69">
        <v>4299</v>
      </c>
      <c r="AI69">
        <v>231</v>
      </c>
      <c r="AP69">
        <v>558</v>
      </c>
      <c r="AR69">
        <v>107</v>
      </c>
    </row>
    <row r="70" spans="1:44" x14ac:dyDescent="0.35">
      <c r="A70" s="8" t="s">
        <v>288</v>
      </c>
      <c r="B70" s="8" t="s">
        <v>82</v>
      </c>
      <c r="C70" s="8" t="s">
        <v>284</v>
      </c>
      <c r="D70" s="8" t="s">
        <v>285</v>
      </c>
      <c r="E70" s="8" t="s">
        <v>289</v>
      </c>
      <c r="F70" s="8" t="s">
        <v>290</v>
      </c>
      <c r="G70" s="8" t="s">
        <v>2331</v>
      </c>
      <c r="H70" s="8">
        <v>4131</v>
      </c>
      <c r="I70" s="8">
        <v>284</v>
      </c>
      <c r="J70" s="9">
        <v>1355</v>
      </c>
      <c r="K70" s="9">
        <v>174</v>
      </c>
      <c r="L70" s="9"/>
      <c r="M70" s="9"/>
      <c r="N70" s="9"/>
      <c r="O70" s="9"/>
      <c r="P70" s="9"/>
      <c r="Q70" s="9"/>
      <c r="R70" s="8" t="s">
        <v>290</v>
      </c>
      <c r="S70" s="8" t="s">
        <v>285</v>
      </c>
      <c r="T70" s="19" t="s">
        <v>2331</v>
      </c>
      <c r="U70" s="8" t="s">
        <v>2324</v>
      </c>
      <c r="V70" s="8">
        <v>3476</v>
      </c>
      <c r="W70" s="8">
        <v>239</v>
      </c>
      <c r="X70" s="8">
        <v>1139</v>
      </c>
      <c r="Y70" s="8">
        <v>147</v>
      </c>
      <c r="Z70" s="21"/>
      <c r="AA70" s="8"/>
      <c r="AB70" s="8"/>
      <c r="AC70" s="8"/>
      <c r="AD70" s="8"/>
      <c r="AE70" s="8"/>
      <c r="AF70" s="8"/>
      <c r="AG70" s="17" t="s">
        <v>242</v>
      </c>
    </row>
    <row r="71" spans="1:44" x14ac:dyDescent="0.35">
      <c r="A71" s="8" t="s">
        <v>291</v>
      </c>
      <c r="B71" s="8" t="s">
        <v>82</v>
      </c>
      <c r="C71" s="8" t="s">
        <v>284</v>
      </c>
      <c r="D71" s="8" t="s">
        <v>285</v>
      </c>
      <c r="E71" s="8" t="s">
        <v>292</v>
      </c>
      <c r="F71" s="8" t="s">
        <v>293</v>
      </c>
      <c r="G71" s="8" t="s">
        <v>2331</v>
      </c>
      <c r="H71" s="8">
        <v>3970</v>
      </c>
      <c r="I71" s="8">
        <v>498</v>
      </c>
      <c r="J71" s="9">
        <v>1144</v>
      </c>
      <c r="K71" s="9"/>
      <c r="L71" s="9"/>
      <c r="M71" s="9"/>
      <c r="N71" s="9"/>
      <c r="O71" s="9"/>
      <c r="P71" s="9"/>
      <c r="Q71" s="9"/>
      <c r="R71" s="8" t="s">
        <v>293</v>
      </c>
      <c r="S71" s="8" t="s">
        <v>285</v>
      </c>
      <c r="T71" s="19" t="s">
        <v>2331</v>
      </c>
      <c r="U71" s="8" t="s">
        <v>2324</v>
      </c>
      <c r="V71">
        <v>3970</v>
      </c>
      <c r="W71">
        <v>498</v>
      </c>
      <c r="X71">
        <v>1144</v>
      </c>
      <c r="Z71"/>
      <c r="AG71" s="15" t="s">
        <v>248</v>
      </c>
      <c r="AH71">
        <v>6548</v>
      </c>
      <c r="AI71">
        <v>802</v>
      </c>
      <c r="AJ71">
        <v>3415</v>
      </c>
      <c r="AK71">
        <v>619</v>
      </c>
      <c r="AR71">
        <v>166</v>
      </c>
    </row>
    <row r="72" spans="1:44" x14ac:dyDescent="0.35">
      <c r="A72" s="8"/>
      <c r="B72" s="8"/>
      <c r="C72" s="8"/>
      <c r="D72" s="8"/>
      <c r="E72" s="8"/>
      <c r="F72" s="8"/>
      <c r="G72" s="8"/>
      <c r="H72" s="8"/>
      <c r="I72" s="8"/>
      <c r="J72" s="9"/>
      <c r="K72" s="9"/>
      <c r="L72" s="9"/>
      <c r="M72" s="9"/>
      <c r="N72" s="9"/>
      <c r="O72" s="9"/>
      <c r="P72" s="9"/>
      <c r="Q72" s="9"/>
      <c r="R72" s="8" t="s">
        <v>54</v>
      </c>
      <c r="S72" s="8" t="s">
        <v>285</v>
      </c>
      <c r="T72" s="19" t="s">
        <v>2331</v>
      </c>
      <c r="U72" s="8" t="s">
        <v>2324</v>
      </c>
      <c r="V72">
        <v>4487</v>
      </c>
      <c r="W72">
        <v>18</v>
      </c>
      <c r="X72">
        <v>31</v>
      </c>
      <c r="Y72">
        <v>194</v>
      </c>
      <c r="Z72"/>
      <c r="AD72">
        <v>41</v>
      </c>
      <c r="AG72" s="15" t="s">
        <v>245</v>
      </c>
      <c r="AH72">
        <v>9835</v>
      </c>
      <c r="AI72">
        <v>2720</v>
      </c>
      <c r="AK72">
        <v>737</v>
      </c>
      <c r="AL72">
        <v>214</v>
      </c>
      <c r="AR72">
        <v>101</v>
      </c>
    </row>
    <row r="73" spans="1:44" x14ac:dyDescent="0.35">
      <c r="A73" s="8" t="s">
        <v>294</v>
      </c>
      <c r="B73" s="8" t="s">
        <v>82</v>
      </c>
      <c r="C73" s="8" t="s">
        <v>295</v>
      </c>
      <c r="D73" s="8" t="s">
        <v>296</v>
      </c>
      <c r="E73" s="8" t="s">
        <v>297</v>
      </c>
      <c r="F73" s="8" t="s">
        <v>298</v>
      </c>
      <c r="G73" s="8" t="s">
        <v>2333</v>
      </c>
      <c r="H73" s="8">
        <v>7668</v>
      </c>
      <c r="I73" s="8"/>
      <c r="J73" s="9">
        <v>4155</v>
      </c>
      <c r="K73" s="9"/>
      <c r="L73" s="9"/>
      <c r="M73" s="9"/>
      <c r="N73" s="9"/>
      <c r="O73" s="9"/>
      <c r="P73" s="9"/>
      <c r="Q73" s="9"/>
      <c r="R73" s="8" t="s">
        <v>298</v>
      </c>
      <c r="S73" s="8" t="s">
        <v>296</v>
      </c>
      <c r="T73" s="19" t="s">
        <v>2333</v>
      </c>
      <c r="U73" s="8" t="s">
        <v>2325</v>
      </c>
      <c r="V73">
        <v>6210</v>
      </c>
      <c r="X73">
        <v>3199</v>
      </c>
      <c r="Z73"/>
      <c r="AG73" s="17" t="s">
        <v>250</v>
      </c>
    </row>
    <row r="74" spans="1:44" x14ac:dyDescent="0.35">
      <c r="A74" s="8" t="s">
        <v>299</v>
      </c>
      <c r="B74" s="8" t="s">
        <v>82</v>
      </c>
      <c r="C74" s="8" t="s">
        <v>295</v>
      </c>
      <c r="D74" s="8" t="s">
        <v>296</v>
      </c>
      <c r="E74" s="8" t="s">
        <v>300</v>
      </c>
      <c r="F74" s="8" t="s">
        <v>301</v>
      </c>
      <c r="G74" s="8" t="s">
        <v>2333</v>
      </c>
      <c r="H74" s="8">
        <v>5201</v>
      </c>
      <c r="I74" s="8">
        <v>375</v>
      </c>
      <c r="J74" s="9">
        <v>3394</v>
      </c>
      <c r="K74" s="9">
        <v>337</v>
      </c>
      <c r="L74" s="9"/>
      <c r="M74" s="9"/>
      <c r="N74" s="9"/>
      <c r="O74" s="9"/>
      <c r="P74" s="9">
        <v>542</v>
      </c>
      <c r="Q74" s="9">
        <v>162</v>
      </c>
      <c r="R74" s="8" t="s">
        <v>301</v>
      </c>
      <c r="S74" s="8" t="s">
        <v>296</v>
      </c>
      <c r="T74" s="19" t="s">
        <v>2333</v>
      </c>
      <c r="U74" s="8" t="s">
        <v>2325</v>
      </c>
      <c r="V74">
        <v>2908</v>
      </c>
      <c r="W74">
        <v>225</v>
      </c>
      <c r="X74">
        <v>1778</v>
      </c>
      <c r="Y74">
        <v>137</v>
      </c>
      <c r="Z74"/>
      <c r="AD74">
        <v>335</v>
      </c>
      <c r="AE74">
        <v>140</v>
      </c>
      <c r="AG74" s="15" t="s">
        <v>256</v>
      </c>
      <c r="AH74">
        <v>5135</v>
      </c>
      <c r="AJ74">
        <v>4391</v>
      </c>
      <c r="AK74">
        <v>185</v>
      </c>
      <c r="AR74">
        <v>93</v>
      </c>
    </row>
    <row r="75" spans="1:44" x14ac:dyDescent="0.35">
      <c r="A75" s="8"/>
      <c r="B75" s="8"/>
      <c r="C75" s="8"/>
      <c r="D75" s="8"/>
      <c r="E75" s="8"/>
      <c r="F75" s="8"/>
      <c r="G75" s="8"/>
      <c r="H75" s="8"/>
      <c r="I75" s="8"/>
      <c r="J75" s="9"/>
      <c r="K75" s="9"/>
      <c r="L75" s="9"/>
      <c r="M75" s="9"/>
      <c r="N75" s="9"/>
      <c r="O75" s="9"/>
      <c r="P75" s="9"/>
      <c r="Q75" s="9"/>
      <c r="R75" s="8" t="s">
        <v>55</v>
      </c>
      <c r="S75" s="8" t="s">
        <v>296</v>
      </c>
      <c r="T75" s="19" t="s">
        <v>2333</v>
      </c>
      <c r="U75" s="8" t="s">
        <v>2325</v>
      </c>
      <c r="V75" s="8">
        <v>3751</v>
      </c>
      <c r="W75" s="8">
        <v>150</v>
      </c>
      <c r="X75" s="8">
        <v>2572</v>
      </c>
      <c r="Y75" s="8">
        <v>200</v>
      </c>
      <c r="Z75" s="21"/>
      <c r="AA75" s="8"/>
      <c r="AB75" s="8"/>
      <c r="AC75" s="8"/>
      <c r="AD75" s="8">
        <v>207</v>
      </c>
      <c r="AE75">
        <v>22</v>
      </c>
      <c r="AF75" s="8"/>
      <c r="AG75" s="15" t="s">
        <v>253</v>
      </c>
      <c r="AH75">
        <v>3181</v>
      </c>
      <c r="AJ75">
        <v>1476</v>
      </c>
      <c r="AK75">
        <v>133</v>
      </c>
      <c r="AP75">
        <v>2526</v>
      </c>
      <c r="AQ75">
        <v>503</v>
      </c>
      <c r="AR75">
        <v>94</v>
      </c>
    </row>
    <row r="76" spans="1:44" x14ac:dyDescent="0.35">
      <c r="A76" s="8" t="s">
        <v>302</v>
      </c>
      <c r="B76" s="8" t="s">
        <v>82</v>
      </c>
      <c r="C76" s="8" t="s">
        <v>303</v>
      </c>
      <c r="D76" s="8" t="s">
        <v>304</v>
      </c>
      <c r="E76" s="8" t="s">
        <v>305</v>
      </c>
      <c r="F76" s="8" t="s">
        <v>306</v>
      </c>
      <c r="G76" s="8" t="s">
        <v>2333</v>
      </c>
      <c r="H76" s="8">
        <v>2767</v>
      </c>
      <c r="I76" s="8">
        <v>249</v>
      </c>
      <c r="J76" s="9">
        <v>1773</v>
      </c>
      <c r="K76" s="9">
        <v>88</v>
      </c>
      <c r="L76" s="9"/>
      <c r="M76" s="9">
        <v>76</v>
      </c>
      <c r="N76" s="9"/>
      <c r="O76" s="9"/>
      <c r="P76" s="9"/>
      <c r="Q76" s="9"/>
      <c r="R76" s="8" t="s">
        <v>306</v>
      </c>
      <c r="S76" s="8" t="s">
        <v>304</v>
      </c>
      <c r="T76" s="19" t="s">
        <v>2333</v>
      </c>
      <c r="U76" s="8" t="s">
        <v>2325</v>
      </c>
      <c r="V76" s="8">
        <v>1893</v>
      </c>
      <c r="W76" s="8">
        <v>43</v>
      </c>
      <c r="X76" s="8">
        <v>1111</v>
      </c>
      <c r="Y76" s="8">
        <v>69</v>
      </c>
      <c r="Z76" s="21"/>
      <c r="AA76" s="8">
        <v>33</v>
      </c>
      <c r="AB76" s="8"/>
      <c r="AC76" s="8"/>
      <c r="AD76" s="8">
        <v>4</v>
      </c>
      <c r="AF76" s="8"/>
      <c r="AG76" s="17" t="s">
        <v>258</v>
      </c>
    </row>
    <row r="77" spans="1:44" x14ac:dyDescent="0.35">
      <c r="A77" s="8" t="s">
        <v>307</v>
      </c>
      <c r="B77" s="8" t="s">
        <v>82</v>
      </c>
      <c r="C77" s="8" t="s">
        <v>303</v>
      </c>
      <c r="D77" s="8" t="s">
        <v>304</v>
      </c>
      <c r="E77" s="8" t="s">
        <v>308</v>
      </c>
      <c r="F77" s="8" t="s">
        <v>309</v>
      </c>
      <c r="G77" s="8" t="s">
        <v>2331</v>
      </c>
      <c r="H77" s="8">
        <v>4078</v>
      </c>
      <c r="I77" s="8">
        <v>748</v>
      </c>
      <c r="J77" s="9">
        <v>1167</v>
      </c>
      <c r="K77" s="9">
        <v>149</v>
      </c>
      <c r="L77" s="9"/>
      <c r="M77" s="9">
        <v>61</v>
      </c>
      <c r="N77" s="9"/>
      <c r="O77" s="9"/>
      <c r="P77" s="9">
        <v>123</v>
      </c>
      <c r="Q77" s="9"/>
      <c r="R77" s="8" t="s">
        <v>309</v>
      </c>
      <c r="S77" s="8" t="s">
        <v>304</v>
      </c>
      <c r="T77" s="19" t="s">
        <v>2331</v>
      </c>
      <c r="U77" s="8" t="s">
        <v>2324</v>
      </c>
      <c r="V77" s="8">
        <v>4078</v>
      </c>
      <c r="W77" s="8">
        <v>748</v>
      </c>
      <c r="X77" s="8">
        <v>1167</v>
      </c>
      <c r="Y77" s="8">
        <v>149</v>
      </c>
      <c r="Z77" s="21"/>
      <c r="AA77" s="8">
        <v>61</v>
      </c>
      <c r="AB77" s="8"/>
      <c r="AC77" s="8"/>
      <c r="AD77" s="8">
        <v>123</v>
      </c>
      <c r="AF77" s="8"/>
      <c r="AG77" s="15" t="s">
        <v>264</v>
      </c>
      <c r="AH77">
        <v>4025</v>
      </c>
      <c r="AI77">
        <v>1259</v>
      </c>
      <c r="AJ77">
        <v>2035</v>
      </c>
      <c r="AK77">
        <v>199</v>
      </c>
      <c r="AL77">
        <v>52</v>
      </c>
      <c r="AR77">
        <v>106</v>
      </c>
    </row>
    <row r="78" spans="1:44" x14ac:dyDescent="0.35">
      <c r="A78" s="8" t="s">
        <v>310</v>
      </c>
      <c r="B78" s="8" t="s">
        <v>82</v>
      </c>
      <c r="C78" s="8" t="s">
        <v>303</v>
      </c>
      <c r="D78" s="8" t="s">
        <v>304</v>
      </c>
      <c r="E78" s="8" t="s">
        <v>311</v>
      </c>
      <c r="F78" s="8" t="s">
        <v>312</v>
      </c>
      <c r="G78" s="8" t="s">
        <v>2331</v>
      </c>
      <c r="H78" s="8">
        <v>4082</v>
      </c>
      <c r="I78" s="8">
        <v>700</v>
      </c>
      <c r="J78" s="9">
        <v>672</v>
      </c>
      <c r="K78" s="9">
        <v>290</v>
      </c>
      <c r="L78" s="9"/>
      <c r="M78" s="9">
        <v>255</v>
      </c>
      <c r="N78" s="9"/>
      <c r="O78" s="9"/>
      <c r="P78" s="9"/>
      <c r="Q78" s="9"/>
      <c r="R78" s="8" t="s">
        <v>312</v>
      </c>
      <c r="S78" s="8" t="s">
        <v>304</v>
      </c>
      <c r="T78" s="19" t="s">
        <v>2331</v>
      </c>
      <c r="U78" s="8" t="s">
        <v>2324</v>
      </c>
      <c r="V78">
        <v>3053</v>
      </c>
      <c r="W78">
        <v>471</v>
      </c>
      <c r="X78">
        <v>435</v>
      </c>
      <c r="Y78">
        <v>185</v>
      </c>
      <c r="Z78"/>
      <c r="AA78">
        <v>129</v>
      </c>
      <c r="AG78" s="15" t="s">
        <v>261</v>
      </c>
      <c r="AH78">
        <v>3135</v>
      </c>
      <c r="AI78">
        <v>258</v>
      </c>
      <c r="AJ78">
        <v>2905</v>
      </c>
      <c r="AK78">
        <v>169</v>
      </c>
      <c r="AM78">
        <v>352</v>
      </c>
      <c r="AR78">
        <v>96</v>
      </c>
    </row>
    <row r="79" spans="1:44" x14ac:dyDescent="0.35">
      <c r="A79" s="8"/>
      <c r="B79" s="8"/>
      <c r="C79" s="8"/>
      <c r="D79" s="8"/>
      <c r="E79" s="8"/>
      <c r="F79" s="8"/>
      <c r="G79" s="8"/>
      <c r="H79" s="8"/>
      <c r="I79" s="8"/>
      <c r="J79" s="9"/>
      <c r="K79" s="9"/>
      <c r="L79" s="9"/>
      <c r="M79" s="9"/>
      <c r="N79" s="9"/>
      <c r="O79" s="9"/>
      <c r="P79" s="9"/>
      <c r="Q79" s="9"/>
      <c r="R79" s="8" t="s">
        <v>56</v>
      </c>
      <c r="S79" s="8" t="s">
        <v>304</v>
      </c>
      <c r="T79" s="19" t="s">
        <v>2331</v>
      </c>
      <c r="U79" s="8" t="s">
        <v>2324</v>
      </c>
      <c r="V79">
        <v>2804</v>
      </c>
      <c r="W79">
        <v>435</v>
      </c>
      <c r="X79">
        <v>1151</v>
      </c>
      <c r="Y79">
        <v>137</v>
      </c>
      <c r="Z79"/>
      <c r="AA79">
        <v>169</v>
      </c>
      <c r="AG79" s="17" t="s">
        <v>266</v>
      </c>
    </row>
    <row r="80" spans="1:44" x14ac:dyDescent="0.35">
      <c r="A80" s="8" t="s">
        <v>313</v>
      </c>
      <c r="B80" s="8" t="s">
        <v>82</v>
      </c>
      <c r="C80" s="8" t="s">
        <v>314</v>
      </c>
      <c r="D80" s="8" t="s">
        <v>315</v>
      </c>
      <c r="E80" s="8" t="s">
        <v>316</v>
      </c>
      <c r="F80" s="8" t="s">
        <v>317</v>
      </c>
      <c r="G80" s="8" t="s">
        <v>2333</v>
      </c>
      <c r="H80" s="8">
        <v>3467</v>
      </c>
      <c r="I80" s="8">
        <v>465</v>
      </c>
      <c r="J80" s="8">
        <v>1596</v>
      </c>
      <c r="K80" s="8">
        <v>82</v>
      </c>
      <c r="L80" s="8"/>
      <c r="M80" s="8"/>
      <c r="N80" s="8"/>
      <c r="O80" s="9"/>
      <c r="P80" s="9"/>
      <c r="Q80" s="9"/>
      <c r="R80" s="8" t="s">
        <v>317</v>
      </c>
      <c r="S80" s="8" t="s">
        <v>315</v>
      </c>
      <c r="T80" s="19" t="s">
        <v>2333</v>
      </c>
      <c r="U80" s="8"/>
      <c r="V80">
        <v>3467</v>
      </c>
      <c r="W80">
        <v>465</v>
      </c>
      <c r="X80">
        <v>1596</v>
      </c>
      <c r="Y80">
        <v>82</v>
      </c>
      <c r="Z80"/>
      <c r="AF80" s="8"/>
      <c r="AG80" s="15" t="s">
        <v>269</v>
      </c>
      <c r="AH80">
        <v>2687</v>
      </c>
      <c r="AI80">
        <v>3135</v>
      </c>
      <c r="AJ80">
        <v>1394</v>
      </c>
      <c r="AK80">
        <v>2108</v>
      </c>
      <c r="AL80">
        <v>156</v>
      </c>
      <c r="AP80">
        <v>214</v>
      </c>
      <c r="AR80">
        <v>76</v>
      </c>
    </row>
    <row r="81" spans="1:44" x14ac:dyDescent="0.35">
      <c r="A81" s="8" t="s">
        <v>318</v>
      </c>
      <c r="B81" s="8" t="s">
        <v>82</v>
      </c>
      <c r="C81" s="8" t="s">
        <v>314</v>
      </c>
      <c r="D81" s="8" t="s">
        <v>315</v>
      </c>
      <c r="E81" s="8" t="s">
        <v>319</v>
      </c>
      <c r="F81" s="8" t="s">
        <v>320</v>
      </c>
      <c r="G81" s="8" t="s">
        <v>2333</v>
      </c>
      <c r="H81" s="8">
        <v>3492</v>
      </c>
      <c r="I81" s="8"/>
      <c r="J81" s="8">
        <v>1301</v>
      </c>
      <c r="K81" s="8">
        <v>96</v>
      </c>
      <c r="L81" s="8"/>
      <c r="M81" s="8"/>
      <c r="N81" s="8"/>
      <c r="O81" s="9"/>
      <c r="P81" s="9">
        <v>81</v>
      </c>
      <c r="Q81" s="9"/>
      <c r="R81" s="8" t="s">
        <v>320</v>
      </c>
      <c r="S81" s="8" t="s">
        <v>315</v>
      </c>
      <c r="T81" s="19" t="s">
        <v>2333</v>
      </c>
      <c r="U81" s="8"/>
      <c r="V81">
        <v>2591</v>
      </c>
      <c r="X81">
        <v>1049</v>
      </c>
      <c r="Y81">
        <v>83</v>
      </c>
      <c r="Z81"/>
      <c r="AD81">
        <v>77</v>
      </c>
      <c r="AF81" s="8"/>
      <c r="AG81" s="15" t="s">
        <v>272</v>
      </c>
      <c r="AH81">
        <v>7220</v>
      </c>
      <c r="AI81">
        <v>1221</v>
      </c>
      <c r="AJ81">
        <v>1768</v>
      </c>
      <c r="AK81">
        <v>990</v>
      </c>
      <c r="AL81">
        <v>104</v>
      </c>
      <c r="AM81">
        <v>414</v>
      </c>
      <c r="AP81">
        <v>799</v>
      </c>
      <c r="AQ81">
        <v>143</v>
      </c>
      <c r="AR81">
        <v>160</v>
      </c>
    </row>
    <row r="82" spans="1:44" x14ac:dyDescent="0.35">
      <c r="A82" s="8" t="s">
        <v>321</v>
      </c>
      <c r="B82" s="8" t="s">
        <v>82</v>
      </c>
      <c r="C82" s="8" t="s">
        <v>314</v>
      </c>
      <c r="D82" s="8" t="s">
        <v>315</v>
      </c>
      <c r="E82" s="8" t="s">
        <v>322</v>
      </c>
      <c r="F82" s="8" t="s">
        <v>323</v>
      </c>
      <c r="G82" s="8" t="s">
        <v>2333</v>
      </c>
      <c r="H82" s="8">
        <v>4557</v>
      </c>
      <c r="I82" s="8">
        <v>511</v>
      </c>
      <c r="J82" s="8">
        <v>1662</v>
      </c>
      <c r="K82" s="8"/>
      <c r="L82" s="8"/>
      <c r="M82" s="8">
        <v>159</v>
      </c>
      <c r="N82" s="8"/>
      <c r="O82" s="9"/>
      <c r="P82" s="9"/>
      <c r="Q82" s="9"/>
      <c r="R82" s="8" t="s">
        <v>323</v>
      </c>
      <c r="S82" s="8" t="s">
        <v>315</v>
      </c>
      <c r="T82" s="19" t="s">
        <v>2333</v>
      </c>
      <c r="U82" s="8"/>
      <c r="V82">
        <v>3210</v>
      </c>
      <c r="W82">
        <v>404</v>
      </c>
      <c r="X82">
        <v>1081</v>
      </c>
      <c r="Z82"/>
      <c r="AA82">
        <v>79</v>
      </c>
      <c r="AF82" s="8"/>
      <c r="AG82" s="15" t="s">
        <v>51</v>
      </c>
      <c r="AH82">
        <v>5711</v>
      </c>
      <c r="AI82">
        <v>2154</v>
      </c>
      <c r="AJ82">
        <v>2269</v>
      </c>
      <c r="AK82">
        <v>1310</v>
      </c>
      <c r="AL82">
        <v>161</v>
      </c>
      <c r="AM82">
        <v>460</v>
      </c>
      <c r="AP82">
        <v>386</v>
      </c>
      <c r="AQ82">
        <v>78</v>
      </c>
      <c r="AR82">
        <v>142</v>
      </c>
    </row>
    <row r="83" spans="1:44" x14ac:dyDescent="0.35">
      <c r="A83" s="8" t="s">
        <v>324</v>
      </c>
      <c r="B83" s="8" t="s">
        <v>82</v>
      </c>
      <c r="C83" s="8" t="s">
        <v>325</v>
      </c>
      <c r="D83" s="8" t="s">
        <v>326</v>
      </c>
      <c r="E83" s="8" t="s">
        <v>327</v>
      </c>
      <c r="F83" s="8" t="s">
        <v>75</v>
      </c>
      <c r="G83" s="8" t="s">
        <v>2331</v>
      </c>
      <c r="H83" s="8">
        <v>6154</v>
      </c>
      <c r="I83" s="8"/>
      <c r="J83" s="8">
        <v>2022</v>
      </c>
      <c r="K83" s="8">
        <v>584</v>
      </c>
      <c r="L83" s="8"/>
      <c r="M83" s="8"/>
      <c r="N83" s="8"/>
      <c r="O83" s="9"/>
      <c r="P83" s="9">
        <v>140</v>
      </c>
      <c r="Q83" s="9"/>
      <c r="R83" s="8" t="s">
        <v>76</v>
      </c>
      <c r="S83" s="8" t="s">
        <v>326</v>
      </c>
      <c r="T83" s="19" t="s">
        <v>2331</v>
      </c>
      <c r="U83" s="8"/>
      <c r="V83">
        <v>6154</v>
      </c>
      <c r="X83">
        <v>2022</v>
      </c>
      <c r="Y83">
        <v>584</v>
      </c>
      <c r="Z83"/>
      <c r="AD83">
        <v>140</v>
      </c>
      <c r="AG83" s="17" t="s">
        <v>274</v>
      </c>
    </row>
    <row r="84" spans="1:44" x14ac:dyDescent="0.35">
      <c r="A84" s="8" t="s">
        <v>328</v>
      </c>
      <c r="B84" s="8" t="s">
        <v>82</v>
      </c>
      <c r="C84" s="8" t="s">
        <v>325</v>
      </c>
      <c r="D84" s="8" t="s">
        <v>326</v>
      </c>
      <c r="E84" s="8" t="s">
        <v>329</v>
      </c>
      <c r="F84" s="8" t="s">
        <v>330</v>
      </c>
      <c r="G84" s="22" t="s">
        <v>2332</v>
      </c>
      <c r="H84" s="8">
        <v>3955</v>
      </c>
      <c r="I84" s="8">
        <v>4051</v>
      </c>
      <c r="J84" s="8">
        <v>1066</v>
      </c>
      <c r="K84" s="8">
        <v>2199</v>
      </c>
      <c r="L84" s="8">
        <v>90</v>
      </c>
      <c r="M84" s="8"/>
      <c r="N84" s="8"/>
      <c r="O84" s="9"/>
      <c r="P84" s="9">
        <v>38</v>
      </c>
      <c r="Q84" s="9"/>
      <c r="R84" s="8" t="s">
        <v>330</v>
      </c>
      <c r="S84" s="8" t="s">
        <v>326</v>
      </c>
      <c r="T84" s="19" t="s">
        <v>2332</v>
      </c>
      <c r="U84" s="8"/>
      <c r="V84">
        <v>3955</v>
      </c>
      <c r="W84">
        <v>4051</v>
      </c>
      <c r="X84">
        <v>1066</v>
      </c>
      <c r="Y84">
        <v>2199</v>
      </c>
      <c r="Z84">
        <v>90</v>
      </c>
      <c r="AD84">
        <v>38</v>
      </c>
      <c r="AG84" s="15" t="s">
        <v>53</v>
      </c>
      <c r="AH84">
        <v>4472</v>
      </c>
      <c r="AI84">
        <v>17</v>
      </c>
      <c r="AJ84">
        <v>694</v>
      </c>
      <c r="AK84">
        <v>520</v>
      </c>
      <c r="AL84">
        <v>0</v>
      </c>
      <c r="AM84">
        <v>10</v>
      </c>
      <c r="AP84">
        <v>64</v>
      </c>
      <c r="AQ84">
        <v>2</v>
      </c>
      <c r="AR84">
        <v>78</v>
      </c>
    </row>
    <row r="85" spans="1:44" x14ac:dyDescent="0.35">
      <c r="A85" s="8" t="s">
        <v>331</v>
      </c>
      <c r="B85" s="8" t="s">
        <v>82</v>
      </c>
      <c r="C85" s="8" t="s">
        <v>325</v>
      </c>
      <c r="D85" s="8" t="s">
        <v>326</v>
      </c>
      <c r="E85" s="8" t="s">
        <v>332</v>
      </c>
      <c r="F85" s="8" t="s">
        <v>333</v>
      </c>
      <c r="G85" s="8" t="s">
        <v>2331</v>
      </c>
      <c r="H85" s="8">
        <v>6274</v>
      </c>
      <c r="I85" s="8">
        <v>397</v>
      </c>
      <c r="J85" s="8">
        <v>2713</v>
      </c>
      <c r="K85" s="8">
        <v>294</v>
      </c>
      <c r="L85" s="8"/>
      <c r="M85" s="8"/>
      <c r="N85" s="8"/>
      <c r="O85" s="9"/>
      <c r="P85" s="9">
        <v>330</v>
      </c>
      <c r="Q85" s="9"/>
      <c r="R85" s="8" t="s">
        <v>333</v>
      </c>
      <c r="S85" s="8" t="s">
        <v>326</v>
      </c>
      <c r="T85" s="19" t="s">
        <v>2331</v>
      </c>
      <c r="U85" s="8"/>
      <c r="V85">
        <v>8130</v>
      </c>
      <c r="W85">
        <v>580</v>
      </c>
      <c r="X85">
        <v>3338</v>
      </c>
      <c r="Y85">
        <v>371</v>
      </c>
      <c r="Z85"/>
      <c r="AA85">
        <v>80</v>
      </c>
      <c r="AD85">
        <v>330</v>
      </c>
      <c r="AG85" s="15" t="s">
        <v>282</v>
      </c>
      <c r="AH85">
        <v>5790</v>
      </c>
      <c r="AI85">
        <v>79</v>
      </c>
      <c r="AJ85">
        <v>1549</v>
      </c>
      <c r="AK85">
        <v>357</v>
      </c>
      <c r="AP85">
        <v>241</v>
      </c>
      <c r="AR85">
        <v>66</v>
      </c>
    </row>
    <row r="86" spans="1:44" x14ac:dyDescent="0.35">
      <c r="A86" s="8" t="s">
        <v>334</v>
      </c>
      <c r="B86" s="8" t="s">
        <v>82</v>
      </c>
      <c r="C86" s="8" t="s">
        <v>325</v>
      </c>
      <c r="D86" s="8" t="s">
        <v>326</v>
      </c>
      <c r="E86" s="8" t="s">
        <v>335</v>
      </c>
      <c r="F86" s="8" t="s">
        <v>336</v>
      </c>
      <c r="G86" s="8" t="s">
        <v>2333</v>
      </c>
      <c r="H86" s="8">
        <v>7339</v>
      </c>
      <c r="I86" s="8">
        <v>1497</v>
      </c>
      <c r="J86" s="8">
        <v>1484</v>
      </c>
      <c r="K86" s="8">
        <v>507</v>
      </c>
      <c r="L86" s="8"/>
      <c r="M86" s="8">
        <v>199</v>
      </c>
      <c r="N86" s="8"/>
      <c r="O86" s="9"/>
      <c r="P86" s="9"/>
      <c r="Q86" s="9"/>
      <c r="R86" s="8" t="s">
        <v>336</v>
      </c>
      <c r="S86" s="8" t="s">
        <v>326</v>
      </c>
      <c r="T86" s="19" t="s">
        <v>2333</v>
      </c>
      <c r="U86" s="8"/>
      <c r="V86">
        <v>7339</v>
      </c>
      <c r="W86">
        <v>1497</v>
      </c>
      <c r="X86">
        <v>1484</v>
      </c>
      <c r="Y86">
        <v>507</v>
      </c>
      <c r="Z86"/>
      <c r="AA86">
        <v>199</v>
      </c>
      <c r="AG86" s="15" t="s">
        <v>279</v>
      </c>
      <c r="AH86">
        <v>2566</v>
      </c>
      <c r="AI86">
        <v>2412</v>
      </c>
      <c r="AJ86">
        <v>2178</v>
      </c>
      <c r="AK86">
        <v>1923</v>
      </c>
      <c r="AL86">
        <v>165</v>
      </c>
      <c r="AR86">
        <v>50</v>
      </c>
    </row>
    <row r="87" spans="1:44" x14ac:dyDescent="0.35">
      <c r="A87" s="8" t="s">
        <v>337</v>
      </c>
      <c r="B87" s="8" t="s">
        <v>82</v>
      </c>
      <c r="C87" s="8" t="s">
        <v>338</v>
      </c>
      <c r="D87" s="8" t="s">
        <v>339</v>
      </c>
      <c r="E87" s="8" t="s">
        <v>340</v>
      </c>
      <c r="F87" s="8" t="s">
        <v>341</v>
      </c>
      <c r="G87" s="8" t="s">
        <v>2331</v>
      </c>
      <c r="H87" s="8">
        <v>6245</v>
      </c>
      <c r="I87" s="8">
        <v>955</v>
      </c>
      <c r="J87" s="9">
        <v>373</v>
      </c>
      <c r="K87" s="9">
        <v>292</v>
      </c>
      <c r="L87" s="9"/>
      <c r="M87" s="9"/>
      <c r="N87" s="9"/>
      <c r="O87" s="9"/>
      <c r="P87" s="9"/>
      <c r="Q87" s="9"/>
      <c r="R87" s="8" t="s">
        <v>341</v>
      </c>
      <c r="S87" s="8" t="s">
        <v>339</v>
      </c>
      <c r="T87" s="19" t="s">
        <v>2331</v>
      </c>
      <c r="U87" s="8" t="s">
        <v>2324</v>
      </c>
      <c r="V87" s="8">
        <v>5736</v>
      </c>
      <c r="W87" s="8">
        <v>879</v>
      </c>
      <c r="X87" s="8">
        <v>329</v>
      </c>
      <c r="Y87" s="8">
        <v>215</v>
      </c>
      <c r="Z87" s="21"/>
      <c r="AA87" s="8"/>
      <c r="AB87" s="8"/>
      <c r="AC87" s="8"/>
      <c r="AD87" s="8"/>
      <c r="AE87" s="8"/>
      <c r="AF87" s="8"/>
      <c r="AG87" s="15" t="s">
        <v>72</v>
      </c>
      <c r="AH87">
        <v>3794</v>
      </c>
      <c r="AI87">
        <v>1053</v>
      </c>
      <c r="AJ87">
        <v>4591</v>
      </c>
      <c r="AK87">
        <v>849</v>
      </c>
      <c r="AP87">
        <v>399</v>
      </c>
      <c r="AR87">
        <v>126</v>
      </c>
    </row>
    <row r="88" spans="1:44" x14ac:dyDescent="0.35">
      <c r="A88" s="8" t="s">
        <v>342</v>
      </c>
      <c r="B88" s="8" t="s">
        <v>82</v>
      </c>
      <c r="C88" s="8" t="s">
        <v>338</v>
      </c>
      <c r="D88" s="8" t="s">
        <v>339</v>
      </c>
      <c r="E88" s="8" t="s">
        <v>343</v>
      </c>
      <c r="F88" s="8" t="s">
        <v>73</v>
      </c>
      <c r="G88" s="8" t="s">
        <v>2331</v>
      </c>
      <c r="H88" s="8">
        <v>6694</v>
      </c>
      <c r="I88" s="8">
        <v>1127</v>
      </c>
      <c r="J88" s="9">
        <v>1176</v>
      </c>
      <c r="K88" s="9">
        <v>781</v>
      </c>
      <c r="L88" s="9"/>
      <c r="M88" s="9"/>
      <c r="N88" s="9"/>
      <c r="O88" s="9"/>
      <c r="P88" s="9"/>
      <c r="Q88" s="9"/>
      <c r="R88" s="8" t="s">
        <v>74</v>
      </c>
      <c r="S88" s="8" t="s">
        <v>339</v>
      </c>
      <c r="T88" s="19" t="s">
        <v>2331</v>
      </c>
      <c r="U88" s="8" t="s">
        <v>2324</v>
      </c>
      <c r="V88" s="8">
        <v>3289</v>
      </c>
      <c r="W88" s="8">
        <v>465</v>
      </c>
      <c r="X88" s="8">
        <v>385</v>
      </c>
      <c r="Y88" s="8">
        <v>163</v>
      </c>
      <c r="Z88" s="21"/>
      <c r="AA88" s="8"/>
      <c r="AB88" s="8"/>
      <c r="AC88" s="8"/>
      <c r="AD88" s="8"/>
      <c r="AE88" s="8"/>
      <c r="AF88" s="8"/>
      <c r="AG88" s="15" t="s">
        <v>52</v>
      </c>
      <c r="AH88">
        <v>1823</v>
      </c>
      <c r="AI88">
        <v>1868</v>
      </c>
      <c r="AJ88">
        <v>1698</v>
      </c>
      <c r="AK88">
        <v>1396</v>
      </c>
      <c r="AL88">
        <v>136</v>
      </c>
      <c r="AR88">
        <v>43</v>
      </c>
    </row>
    <row r="89" spans="1:44" x14ac:dyDescent="0.35">
      <c r="A89" s="8"/>
      <c r="B89" s="8"/>
      <c r="C89" s="8"/>
      <c r="D89" s="8"/>
      <c r="E89" s="8"/>
      <c r="F89" s="8"/>
      <c r="G89" s="8"/>
      <c r="H89" s="8"/>
      <c r="I89" s="8"/>
      <c r="J89" s="9"/>
      <c r="K89" s="9"/>
      <c r="L89" s="9"/>
      <c r="M89" s="9"/>
      <c r="N89" s="9"/>
      <c r="O89" s="9"/>
      <c r="P89" s="9"/>
      <c r="Q89" s="9"/>
      <c r="R89" s="8" t="s">
        <v>57</v>
      </c>
      <c r="S89" s="8" t="s">
        <v>339</v>
      </c>
      <c r="T89" s="19" t="s">
        <v>2333</v>
      </c>
      <c r="U89" s="8" t="s">
        <v>2325</v>
      </c>
      <c r="V89" s="8">
        <v>3405</v>
      </c>
      <c r="W89" s="8">
        <v>662</v>
      </c>
      <c r="X89" s="8">
        <v>791</v>
      </c>
      <c r="Y89" s="8">
        <v>618</v>
      </c>
      <c r="Z89" s="21"/>
      <c r="AA89" s="8"/>
      <c r="AB89" s="8"/>
      <c r="AC89" s="8"/>
      <c r="AD89" s="8"/>
      <c r="AE89" s="8"/>
      <c r="AF89" s="8"/>
      <c r="AG89" s="17" t="s">
        <v>284</v>
      </c>
    </row>
    <row r="90" spans="1:44" x14ac:dyDescent="0.35">
      <c r="A90" s="8" t="s">
        <v>344</v>
      </c>
      <c r="B90" s="8" t="s">
        <v>82</v>
      </c>
      <c r="C90" s="8" t="s">
        <v>345</v>
      </c>
      <c r="D90" s="8" t="s">
        <v>346</v>
      </c>
      <c r="E90" s="8" t="s">
        <v>347</v>
      </c>
      <c r="F90" s="8" t="s">
        <v>348</v>
      </c>
      <c r="G90" s="8" t="s">
        <v>2329</v>
      </c>
      <c r="H90" s="8">
        <v>6656</v>
      </c>
      <c r="I90" s="8">
        <v>1795</v>
      </c>
      <c r="J90" s="9">
        <v>814</v>
      </c>
      <c r="K90" s="9">
        <v>664</v>
      </c>
      <c r="L90" s="9">
        <v>119</v>
      </c>
      <c r="M90" s="9"/>
      <c r="N90" s="9"/>
      <c r="O90" s="9"/>
      <c r="P90" s="9"/>
      <c r="Q90" s="9"/>
      <c r="R90" s="8" t="s">
        <v>348</v>
      </c>
      <c r="S90" s="8" t="s">
        <v>346</v>
      </c>
      <c r="T90" s="19" t="s">
        <v>2329</v>
      </c>
      <c r="U90" s="8" t="s">
        <v>2322</v>
      </c>
      <c r="V90">
        <v>4049</v>
      </c>
      <c r="W90">
        <v>1282</v>
      </c>
      <c r="X90">
        <v>410</v>
      </c>
      <c r="Y90">
        <v>463</v>
      </c>
      <c r="Z90">
        <v>77</v>
      </c>
      <c r="AB90" s="8"/>
      <c r="AC90" s="8"/>
      <c r="AD90" s="8"/>
      <c r="AE90" s="8"/>
      <c r="AF90" s="8"/>
      <c r="AG90" s="15" t="s">
        <v>293</v>
      </c>
      <c r="AH90">
        <v>3970</v>
      </c>
      <c r="AI90">
        <v>498</v>
      </c>
      <c r="AJ90">
        <v>1144</v>
      </c>
      <c r="AR90">
        <v>71</v>
      </c>
    </row>
    <row r="91" spans="1:44" x14ac:dyDescent="0.35">
      <c r="A91" s="8" t="s">
        <v>349</v>
      </c>
      <c r="B91" s="8" t="s">
        <v>82</v>
      </c>
      <c r="C91" s="8" t="s">
        <v>345</v>
      </c>
      <c r="D91" s="8" t="s">
        <v>346</v>
      </c>
      <c r="E91" s="8" t="s">
        <v>350</v>
      </c>
      <c r="F91" s="8" t="s">
        <v>351</v>
      </c>
      <c r="G91" s="8" t="s">
        <v>2329</v>
      </c>
      <c r="H91" s="8">
        <v>5406</v>
      </c>
      <c r="I91" s="8">
        <v>3975</v>
      </c>
      <c r="J91" s="9">
        <v>1653</v>
      </c>
      <c r="K91" s="9">
        <v>1020</v>
      </c>
      <c r="L91" s="9">
        <v>151</v>
      </c>
      <c r="M91" s="9"/>
      <c r="N91" s="9"/>
      <c r="O91" s="9"/>
      <c r="P91" s="9"/>
      <c r="Q91" s="9"/>
      <c r="R91" s="8" t="s">
        <v>351</v>
      </c>
      <c r="S91" s="8" t="s">
        <v>346</v>
      </c>
      <c r="T91" s="19" t="s">
        <v>2329</v>
      </c>
      <c r="U91" s="8" t="s">
        <v>2322</v>
      </c>
      <c r="V91">
        <v>5406</v>
      </c>
      <c r="W91">
        <v>3975</v>
      </c>
      <c r="X91">
        <v>1653</v>
      </c>
      <c r="Y91">
        <v>1020</v>
      </c>
      <c r="Z91">
        <v>151</v>
      </c>
      <c r="AB91" s="8"/>
      <c r="AC91" s="8"/>
      <c r="AD91" s="8"/>
      <c r="AE91" s="8"/>
      <c r="AF91" s="8"/>
      <c r="AG91" s="15" t="s">
        <v>287</v>
      </c>
      <c r="AH91">
        <v>4240</v>
      </c>
      <c r="AI91">
        <v>37</v>
      </c>
      <c r="AJ91">
        <v>185</v>
      </c>
      <c r="AK91">
        <v>288</v>
      </c>
      <c r="AR91">
        <v>50</v>
      </c>
    </row>
    <row r="92" spans="1:44" x14ac:dyDescent="0.35">
      <c r="A92" s="8" t="s">
        <v>352</v>
      </c>
      <c r="B92" s="8" t="s">
        <v>82</v>
      </c>
      <c r="C92" s="8" t="s">
        <v>345</v>
      </c>
      <c r="D92" s="8" t="s">
        <v>346</v>
      </c>
      <c r="E92" s="8" t="s">
        <v>353</v>
      </c>
      <c r="F92" s="8" t="s">
        <v>77</v>
      </c>
      <c r="G92" s="8" t="s">
        <v>2329</v>
      </c>
      <c r="H92" s="8">
        <v>10171</v>
      </c>
      <c r="I92" s="8">
        <v>2906</v>
      </c>
      <c r="J92" s="9">
        <v>1886</v>
      </c>
      <c r="K92" s="9">
        <v>1014</v>
      </c>
      <c r="L92" s="9"/>
      <c r="M92" s="9">
        <v>501</v>
      </c>
      <c r="N92" s="9"/>
      <c r="O92" s="9"/>
      <c r="P92" s="9"/>
      <c r="Q92" s="9"/>
      <c r="R92" s="8" t="s">
        <v>78</v>
      </c>
      <c r="S92" s="8" t="s">
        <v>346</v>
      </c>
      <c r="T92" s="19" t="s">
        <v>2329</v>
      </c>
      <c r="U92" s="8" t="s">
        <v>2322</v>
      </c>
      <c r="V92">
        <v>2775</v>
      </c>
      <c r="W92">
        <v>984</v>
      </c>
      <c r="X92">
        <v>446</v>
      </c>
      <c r="Y92">
        <v>377</v>
      </c>
      <c r="Z92"/>
      <c r="AA92">
        <v>84</v>
      </c>
      <c r="AB92" s="8"/>
      <c r="AC92" s="8"/>
      <c r="AD92" s="8"/>
      <c r="AE92" s="8"/>
      <c r="AF92" s="8"/>
      <c r="AG92" s="15" t="s">
        <v>54</v>
      </c>
      <c r="AH92">
        <v>4487</v>
      </c>
      <c r="AI92">
        <v>18</v>
      </c>
      <c r="AJ92">
        <v>31</v>
      </c>
      <c r="AK92">
        <v>194</v>
      </c>
      <c r="AP92">
        <v>41</v>
      </c>
      <c r="AR92">
        <v>46</v>
      </c>
    </row>
    <row r="93" spans="1:44" x14ac:dyDescent="0.35">
      <c r="A93" s="8"/>
      <c r="B93" s="8"/>
      <c r="C93" s="8"/>
      <c r="D93" s="8"/>
      <c r="E93" s="8"/>
      <c r="F93" s="8"/>
      <c r="G93" s="8"/>
      <c r="H93" s="8"/>
      <c r="I93" s="8"/>
      <c r="J93" s="9"/>
      <c r="K93" s="9"/>
      <c r="L93" s="9"/>
      <c r="M93" s="9"/>
      <c r="N93" s="9"/>
      <c r="O93" s="9"/>
      <c r="P93" s="9"/>
      <c r="Q93" s="9"/>
      <c r="R93" s="8" t="s">
        <v>58</v>
      </c>
      <c r="S93" s="8" t="s">
        <v>346</v>
      </c>
      <c r="T93" s="19" t="s">
        <v>2331</v>
      </c>
      <c r="U93" s="8" t="s">
        <v>2324</v>
      </c>
      <c r="V93">
        <v>10003</v>
      </c>
      <c r="W93">
        <v>2435</v>
      </c>
      <c r="X93">
        <v>1844</v>
      </c>
      <c r="Y93">
        <v>838</v>
      </c>
      <c r="Z93">
        <v>42</v>
      </c>
      <c r="AA93">
        <v>417</v>
      </c>
      <c r="AB93" s="8"/>
      <c r="AC93" s="8"/>
      <c r="AD93" s="8"/>
      <c r="AE93" s="8"/>
      <c r="AF93" s="8"/>
      <c r="AG93" s="15" t="s">
        <v>290</v>
      </c>
      <c r="AH93">
        <v>3476</v>
      </c>
      <c r="AI93">
        <v>239</v>
      </c>
      <c r="AJ93">
        <v>1139</v>
      </c>
      <c r="AK93">
        <v>147</v>
      </c>
      <c r="AR93">
        <v>53</v>
      </c>
    </row>
    <row r="94" spans="1:44" x14ac:dyDescent="0.35">
      <c r="A94" s="8"/>
      <c r="B94" s="8"/>
      <c r="C94" s="8"/>
      <c r="D94" s="8"/>
      <c r="E94" s="8"/>
      <c r="F94" s="8"/>
      <c r="G94" s="8"/>
      <c r="H94" s="8"/>
      <c r="I94" s="8"/>
      <c r="J94" s="9"/>
      <c r="K94" s="9"/>
      <c r="L94" s="9"/>
      <c r="M94" s="9"/>
      <c r="N94" s="9"/>
      <c r="O94" s="9"/>
      <c r="P94" s="9"/>
      <c r="Q94" s="9"/>
      <c r="R94" s="8" t="s">
        <v>59</v>
      </c>
      <c r="S94" s="8" t="s">
        <v>346</v>
      </c>
      <c r="T94" s="19" t="s">
        <v>2333</v>
      </c>
      <c r="U94" s="24" t="s">
        <v>2342</v>
      </c>
      <c r="V94" s="8"/>
      <c r="W94" s="8"/>
      <c r="X94" s="8"/>
      <c r="Y94" s="8"/>
      <c r="Z94" s="21"/>
      <c r="AA94" s="8"/>
      <c r="AB94" s="8"/>
      <c r="AC94" s="8"/>
      <c r="AD94" s="8"/>
      <c r="AE94" s="8"/>
      <c r="AF94" s="8"/>
      <c r="AG94" s="17" t="s">
        <v>295</v>
      </c>
    </row>
    <row r="95" spans="1:44" x14ac:dyDescent="0.35">
      <c r="A95" s="8" t="s">
        <v>354</v>
      </c>
      <c r="B95" s="8" t="s">
        <v>82</v>
      </c>
      <c r="C95" s="8" t="s">
        <v>355</v>
      </c>
      <c r="D95" s="8" t="s">
        <v>356</v>
      </c>
      <c r="E95" s="8" t="s">
        <v>357</v>
      </c>
      <c r="F95" s="8" t="s">
        <v>358</v>
      </c>
      <c r="G95" s="8" t="s">
        <v>2330</v>
      </c>
      <c r="H95" s="8">
        <v>8014</v>
      </c>
      <c r="I95" s="8">
        <v>371</v>
      </c>
      <c r="J95" s="9">
        <v>2184</v>
      </c>
      <c r="K95" s="9">
        <v>100</v>
      </c>
      <c r="L95" s="9"/>
      <c r="M95" s="9">
        <v>124</v>
      </c>
      <c r="N95" s="9"/>
      <c r="O95" s="9"/>
      <c r="P95" s="9"/>
      <c r="Q95" s="9"/>
      <c r="R95" s="8" t="s">
        <v>358</v>
      </c>
      <c r="S95" s="8" t="s">
        <v>356</v>
      </c>
      <c r="T95" s="19" t="s">
        <v>2330</v>
      </c>
      <c r="U95" s="8" t="s">
        <v>2323</v>
      </c>
      <c r="V95" s="8">
        <v>7026</v>
      </c>
      <c r="W95" s="8">
        <v>310</v>
      </c>
      <c r="X95" s="8">
        <v>1850</v>
      </c>
      <c r="Y95" s="8">
        <v>86</v>
      </c>
      <c r="Z95" s="21"/>
      <c r="AA95" s="8">
        <v>113</v>
      </c>
      <c r="AB95" s="8"/>
      <c r="AC95" s="8"/>
      <c r="AD95" s="8"/>
      <c r="AE95" s="8"/>
      <c r="AF95" s="8"/>
      <c r="AG95" s="15" t="s">
        <v>55</v>
      </c>
      <c r="AH95">
        <v>3751</v>
      </c>
      <c r="AI95">
        <v>150</v>
      </c>
      <c r="AJ95">
        <v>2572</v>
      </c>
      <c r="AK95">
        <v>200</v>
      </c>
      <c r="AP95">
        <v>207</v>
      </c>
      <c r="AQ95">
        <v>22</v>
      </c>
      <c r="AR95">
        <v>76</v>
      </c>
    </row>
    <row r="96" spans="1:44" x14ac:dyDescent="0.35">
      <c r="A96" s="8" t="s">
        <v>359</v>
      </c>
      <c r="B96" s="8" t="s">
        <v>82</v>
      </c>
      <c r="C96" s="8" t="s">
        <v>355</v>
      </c>
      <c r="D96" s="8" t="s">
        <v>356</v>
      </c>
      <c r="E96" s="8" t="s">
        <v>360</v>
      </c>
      <c r="F96" s="8" t="s">
        <v>361</v>
      </c>
      <c r="G96" s="8" t="s">
        <v>2331</v>
      </c>
      <c r="H96" s="8">
        <v>3793</v>
      </c>
      <c r="I96" s="8">
        <v>1088</v>
      </c>
      <c r="J96" s="9">
        <v>1430</v>
      </c>
      <c r="K96" s="9">
        <v>68</v>
      </c>
      <c r="L96" s="9"/>
      <c r="M96" s="9"/>
      <c r="N96" s="9"/>
      <c r="O96" s="9"/>
      <c r="P96" s="9"/>
      <c r="Q96" s="9"/>
      <c r="R96" s="8" t="s">
        <v>361</v>
      </c>
      <c r="S96" s="8" t="s">
        <v>356</v>
      </c>
      <c r="T96" s="19" t="s">
        <v>2331</v>
      </c>
      <c r="U96" s="8" t="s">
        <v>2324</v>
      </c>
      <c r="V96">
        <v>2886</v>
      </c>
      <c r="W96">
        <v>901</v>
      </c>
      <c r="X96">
        <v>1129</v>
      </c>
      <c r="Y96">
        <v>54</v>
      </c>
      <c r="Z96"/>
      <c r="AB96" s="8"/>
      <c r="AC96" s="8"/>
      <c r="AD96" s="8"/>
      <c r="AE96" s="8"/>
      <c r="AF96" s="8"/>
      <c r="AG96" s="15" t="s">
        <v>301</v>
      </c>
      <c r="AH96">
        <v>2908</v>
      </c>
      <c r="AI96">
        <v>225</v>
      </c>
      <c r="AJ96">
        <v>1778</v>
      </c>
      <c r="AK96">
        <v>137</v>
      </c>
      <c r="AP96">
        <v>335</v>
      </c>
      <c r="AQ96">
        <v>140</v>
      </c>
      <c r="AR96">
        <v>67</v>
      </c>
    </row>
    <row r="97" spans="1:44" x14ac:dyDescent="0.35">
      <c r="A97" s="8" t="s">
        <v>362</v>
      </c>
      <c r="B97" s="8" t="s">
        <v>82</v>
      </c>
      <c r="C97" s="8" t="s">
        <v>355</v>
      </c>
      <c r="D97" s="8" t="s">
        <v>356</v>
      </c>
      <c r="E97" s="8" t="s">
        <v>363</v>
      </c>
      <c r="F97" s="8" t="s">
        <v>364</v>
      </c>
      <c r="G97" s="8" t="s">
        <v>2331</v>
      </c>
      <c r="H97" s="8">
        <v>3681</v>
      </c>
      <c r="I97" s="8">
        <v>808</v>
      </c>
      <c r="J97" s="9">
        <v>850</v>
      </c>
      <c r="K97" s="9">
        <v>197</v>
      </c>
      <c r="L97" s="9"/>
      <c r="M97" s="9"/>
      <c r="N97" s="9"/>
      <c r="O97" s="9"/>
      <c r="P97" s="9"/>
      <c r="Q97" s="9"/>
      <c r="R97" s="8" t="s">
        <v>364</v>
      </c>
      <c r="S97" s="8" t="s">
        <v>356</v>
      </c>
      <c r="T97" s="19" t="s">
        <v>2331</v>
      </c>
      <c r="U97" s="8" t="s">
        <v>2324</v>
      </c>
      <c r="V97">
        <v>2754</v>
      </c>
      <c r="W97">
        <v>497</v>
      </c>
      <c r="X97">
        <v>555</v>
      </c>
      <c r="Y97">
        <v>152</v>
      </c>
      <c r="Z97"/>
      <c r="AB97" s="8"/>
      <c r="AC97" s="8"/>
      <c r="AD97" s="8"/>
      <c r="AE97" s="8"/>
      <c r="AF97" s="8"/>
      <c r="AG97" s="15" t="s">
        <v>298</v>
      </c>
      <c r="AH97">
        <v>6210</v>
      </c>
      <c r="AJ97">
        <v>3199</v>
      </c>
      <c r="AR97">
        <v>124</v>
      </c>
    </row>
    <row r="98" spans="1:44" x14ac:dyDescent="0.35">
      <c r="A98" s="8"/>
      <c r="B98" s="8"/>
      <c r="C98" s="8"/>
      <c r="D98" s="8"/>
      <c r="E98" s="8"/>
      <c r="F98" s="8"/>
      <c r="G98" s="8"/>
      <c r="H98" s="8"/>
      <c r="I98" s="8"/>
      <c r="J98" s="9"/>
      <c r="K98" s="9"/>
      <c r="L98" s="9"/>
      <c r="M98" s="9"/>
      <c r="N98" s="9"/>
      <c r="O98" s="9"/>
      <c r="P98" s="9"/>
      <c r="Q98" s="9"/>
      <c r="R98" s="8" t="s">
        <v>60</v>
      </c>
      <c r="S98" s="8" t="s">
        <v>356</v>
      </c>
      <c r="T98" s="19" t="s">
        <v>2331</v>
      </c>
      <c r="U98" s="8" t="s">
        <v>2343</v>
      </c>
      <c r="V98">
        <v>2822</v>
      </c>
      <c r="W98">
        <v>559</v>
      </c>
      <c r="X98">
        <v>930</v>
      </c>
      <c r="Y98">
        <v>73</v>
      </c>
      <c r="Z98"/>
      <c r="AA98">
        <v>11</v>
      </c>
      <c r="AB98" s="8"/>
      <c r="AC98" s="8"/>
      <c r="AD98" s="8"/>
      <c r="AE98" s="8"/>
      <c r="AF98" s="8"/>
      <c r="AG98" s="17" t="s">
        <v>303</v>
      </c>
    </row>
    <row r="99" spans="1:44" x14ac:dyDescent="0.35">
      <c r="A99" s="8" t="s">
        <v>365</v>
      </c>
      <c r="B99" s="8" t="s">
        <v>82</v>
      </c>
      <c r="C99" s="8" t="s">
        <v>366</v>
      </c>
      <c r="D99" s="8" t="s">
        <v>367</v>
      </c>
      <c r="E99" s="8" t="s">
        <v>368</v>
      </c>
      <c r="F99" s="8" t="s">
        <v>369</v>
      </c>
      <c r="G99" s="8" t="s">
        <v>2331</v>
      </c>
      <c r="H99" s="8">
        <v>6184</v>
      </c>
      <c r="I99" s="8"/>
      <c r="J99" s="8">
        <v>1437</v>
      </c>
      <c r="K99" s="8">
        <v>202</v>
      </c>
      <c r="L99" s="8"/>
      <c r="M99" s="8"/>
      <c r="N99" s="8"/>
      <c r="O99" s="9"/>
      <c r="P99" s="9">
        <v>62</v>
      </c>
      <c r="Q99" s="9"/>
      <c r="R99" s="8" t="s">
        <v>369</v>
      </c>
      <c r="S99" s="8" t="s">
        <v>367</v>
      </c>
      <c r="T99" s="19" t="s">
        <v>2331</v>
      </c>
      <c r="U99" s="8"/>
      <c r="V99">
        <v>6184</v>
      </c>
      <c r="X99">
        <v>1437</v>
      </c>
      <c r="Y99">
        <v>202</v>
      </c>
      <c r="Z99"/>
      <c r="AD99">
        <v>62</v>
      </c>
      <c r="AF99" s="8"/>
      <c r="AG99" s="15" t="s">
        <v>312</v>
      </c>
      <c r="AH99">
        <v>3053</v>
      </c>
      <c r="AI99">
        <v>471</v>
      </c>
      <c r="AJ99">
        <v>435</v>
      </c>
      <c r="AK99">
        <v>185</v>
      </c>
      <c r="AM99">
        <v>129</v>
      </c>
      <c r="AR99">
        <v>44</v>
      </c>
    </row>
    <row r="100" spans="1:44" x14ac:dyDescent="0.35">
      <c r="A100" s="8" t="s">
        <v>370</v>
      </c>
      <c r="B100" s="8" t="s">
        <v>82</v>
      </c>
      <c r="C100" s="8" t="s">
        <v>366</v>
      </c>
      <c r="D100" s="8" t="s">
        <v>367</v>
      </c>
      <c r="E100" s="8" t="s">
        <v>371</v>
      </c>
      <c r="F100" s="8" t="s">
        <v>372</v>
      </c>
      <c r="G100" s="8" t="s">
        <v>2331</v>
      </c>
      <c r="H100" s="8">
        <v>2947</v>
      </c>
      <c r="I100" s="8">
        <v>264</v>
      </c>
      <c r="J100" s="8">
        <v>2306</v>
      </c>
      <c r="K100" s="8">
        <v>80</v>
      </c>
      <c r="L100" s="8"/>
      <c r="M100" s="8"/>
      <c r="N100" s="8"/>
      <c r="O100" s="9"/>
      <c r="P100" s="9"/>
      <c r="Q100" s="9"/>
      <c r="R100" s="8" t="s">
        <v>372</v>
      </c>
      <c r="S100" s="8" t="s">
        <v>367</v>
      </c>
      <c r="T100" s="19" t="s">
        <v>2331</v>
      </c>
      <c r="U100" s="8"/>
      <c r="V100">
        <v>2947</v>
      </c>
      <c r="W100">
        <v>264</v>
      </c>
      <c r="X100">
        <v>2306</v>
      </c>
      <c r="Y100">
        <v>80</v>
      </c>
      <c r="Z100"/>
      <c r="AF100" s="8"/>
      <c r="AG100" s="15" t="s">
        <v>309</v>
      </c>
      <c r="AH100">
        <v>4078</v>
      </c>
      <c r="AI100">
        <v>748</v>
      </c>
      <c r="AJ100">
        <v>1167</v>
      </c>
      <c r="AK100">
        <v>149</v>
      </c>
      <c r="AM100">
        <v>61</v>
      </c>
      <c r="AP100">
        <v>123</v>
      </c>
      <c r="AR100">
        <v>98</v>
      </c>
    </row>
    <row r="101" spans="1:44" x14ac:dyDescent="0.35">
      <c r="A101" s="8" t="s">
        <v>373</v>
      </c>
      <c r="B101" s="8" t="s">
        <v>82</v>
      </c>
      <c r="C101" s="8" t="s">
        <v>374</v>
      </c>
      <c r="D101" s="8" t="s">
        <v>375</v>
      </c>
      <c r="E101" s="8" t="s">
        <v>376</v>
      </c>
      <c r="F101" s="8" t="s">
        <v>79</v>
      </c>
      <c r="G101" s="8" t="s">
        <v>2312</v>
      </c>
      <c r="H101" s="8">
        <v>1974</v>
      </c>
      <c r="I101" s="8">
        <v>57</v>
      </c>
      <c r="J101" s="8">
        <v>2677</v>
      </c>
      <c r="K101" s="8">
        <v>109</v>
      </c>
      <c r="L101" s="8"/>
      <c r="M101" s="8"/>
      <c r="N101" s="8"/>
      <c r="O101" s="9"/>
      <c r="P101" s="9">
        <v>54</v>
      </c>
      <c r="Q101" s="9"/>
      <c r="R101" s="8" t="s">
        <v>80</v>
      </c>
      <c r="S101" s="8" t="s">
        <v>375</v>
      </c>
      <c r="T101" s="19" t="s">
        <v>2488</v>
      </c>
      <c r="U101" s="8"/>
      <c r="V101">
        <v>1974</v>
      </c>
      <c r="W101">
        <v>57</v>
      </c>
      <c r="X101">
        <v>2677</v>
      </c>
      <c r="Y101">
        <v>109</v>
      </c>
      <c r="Z101"/>
      <c r="AD101">
        <v>54</v>
      </c>
      <c r="AF101" s="8"/>
      <c r="AG101" s="15" t="s">
        <v>56</v>
      </c>
      <c r="AH101">
        <v>2804</v>
      </c>
      <c r="AI101">
        <v>435</v>
      </c>
      <c r="AJ101">
        <v>1151</v>
      </c>
      <c r="AK101">
        <v>137</v>
      </c>
      <c r="AM101">
        <v>169</v>
      </c>
      <c r="AR101">
        <v>85</v>
      </c>
    </row>
    <row r="102" spans="1:44" x14ac:dyDescent="0.35">
      <c r="A102" s="8" t="s">
        <v>377</v>
      </c>
      <c r="B102" s="8" t="s">
        <v>82</v>
      </c>
      <c r="C102" s="8" t="s">
        <v>374</v>
      </c>
      <c r="D102" s="8" t="s">
        <v>375</v>
      </c>
      <c r="E102" s="8" t="s">
        <v>378</v>
      </c>
      <c r="F102" s="8" t="s">
        <v>379</v>
      </c>
      <c r="G102" s="8" t="s">
        <v>2331</v>
      </c>
      <c r="H102" s="8">
        <v>6209</v>
      </c>
      <c r="I102" s="8"/>
      <c r="J102" s="8">
        <v>740</v>
      </c>
      <c r="K102" s="8">
        <v>165</v>
      </c>
      <c r="L102" s="8"/>
      <c r="M102" s="8"/>
      <c r="N102" s="8"/>
      <c r="O102" s="9"/>
      <c r="P102" s="9"/>
      <c r="Q102" s="9"/>
      <c r="R102" s="8" t="s">
        <v>379</v>
      </c>
      <c r="S102" s="8" t="s">
        <v>375</v>
      </c>
      <c r="T102" s="38" t="s">
        <v>2331</v>
      </c>
      <c r="U102" s="8"/>
      <c r="V102">
        <v>6209</v>
      </c>
      <c r="X102">
        <v>740</v>
      </c>
      <c r="Y102">
        <v>165</v>
      </c>
      <c r="Z102"/>
      <c r="AF102" s="8"/>
      <c r="AG102" s="15" t="s">
        <v>306</v>
      </c>
      <c r="AH102">
        <v>1893</v>
      </c>
      <c r="AI102">
        <v>43</v>
      </c>
      <c r="AJ102">
        <v>1111</v>
      </c>
      <c r="AK102">
        <v>69</v>
      </c>
      <c r="AM102">
        <v>33</v>
      </c>
      <c r="AP102">
        <v>4</v>
      </c>
      <c r="AR102">
        <v>53</v>
      </c>
    </row>
    <row r="103" spans="1:44" x14ac:dyDescent="0.35">
      <c r="AG103" s="17" t="s">
        <v>314</v>
      </c>
    </row>
    <row r="104" spans="1:44" x14ac:dyDescent="0.35">
      <c r="AG104" s="15" t="s">
        <v>317</v>
      </c>
      <c r="AH104">
        <v>3467</v>
      </c>
      <c r="AI104">
        <v>465</v>
      </c>
      <c r="AJ104">
        <v>1596</v>
      </c>
      <c r="AK104">
        <v>82</v>
      </c>
      <c r="AR104">
        <v>73</v>
      </c>
    </row>
    <row r="105" spans="1:44" x14ac:dyDescent="0.35">
      <c r="AG105" s="15" t="s">
        <v>320</v>
      </c>
      <c r="AH105">
        <v>2591</v>
      </c>
      <c r="AJ105">
        <v>1049</v>
      </c>
      <c r="AK105">
        <v>83</v>
      </c>
      <c r="AP105">
        <v>77</v>
      </c>
      <c r="AR105">
        <v>26</v>
      </c>
    </row>
    <row r="106" spans="1:44" x14ac:dyDescent="0.35">
      <c r="AG106" s="15" t="s">
        <v>323</v>
      </c>
      <c r="AH106">
        <v>3210</v>
      </c>
      <c r="AI106">
        <v>404</v>
      </c>
      <c r="AJ106">
        <v>1081</v>
      </c>
      <c r="AM106">
        <v>79</v>
      </c>
      <c r="AR106">
        <v>42</v>
      </c>
    </row>
    <row r="107" spans="1:44" x14ac:dyDescent="0.35">
      <c r="AG107" s="17" t="s">
        <v>325</v>
      </c>
    </row>
    <row r="108" spans="1:44" x14ac:dyDescent="0.35">
      <c r="AG108" s="15" t="s">
        <v>76</v>
      </c>
      <c r="AH108">
        <v>6154</v>
      </c>
      <c r="AJ108">
        <v>2022</v>
      </c>
      <c r="AK108">
        <v>584</v>
      </c>
      <c r="AP108">
        <v>140</v>
      </c>
      <c r="AR108">
        <v>127</v>
      </c>
    </row>
    <row r="109" spans="1:44" x14ac:dyDescent="0.35">
      <c r="AG109" s="15" t="s">
        <v>333</v>
      </c>
      <c r="AH109">
        <v>8130</v>
      </c>
      <c r="AI109">
        <v>580</v>
      </c>
      <c r="AJ109">
        <v>3338</v>
      </c>
      <c r="AK109">
        <v>371</v>
      </c>
      <c r="AM109">
        <v>80</v>
      </c>
      <c r="AP109">
        <v>330</v>
      </c>
      <c r="AR109">
        <v>180</v>
      </c>
    </row>
    <row r="110" spans="1:44" x14ac:dyDescent="0.35">
      <c r="AG110" s="15" t="s">
        <v>336</v>
      </c>
      <c r="AH110">
        <v>7339</v>
      </c>
      <c r="AI110">
        <v>1497</v>
      </c>
      <c r="AJ110">
        <v>1484</v>
      </c>
      <c r="AK110">
        <v>507</v>
      </c>
      <c r="AM110">
        <v>199</v>
      </c>
      <c r="AR110">
        <v>157</v>
      </c>
    </row>
    <row r="111" spans="1:44" x14ac:dyDescent="0.35">
      <c r="AG111" s="15" t="s">
        <v>330</v>
      </c>
      <c r="AH111">
        <v>3955</v>
      </c>
      <c r="AI111">
        <v>4051</v>
      </c>
      <c r="AJ111">
        <v>1066</v>
      </c>
      <c r="AK111">
        <v>2199</v>
      </c>
      <c r="AL111">
        <v>90</v>
      </c>
      <c r="AP111">
        <v>38</v>
      </c>
      <c r="AR111">
        <v>58</v>
      </c>
    </row>
    <row r="112" spans="1:44" x14ac:dyDescent="0.35">
      <c r="AG112" s="17" t="s">
        <v>338</v>
      </c>
    </row>
    <row r="113" spans="33:44" x14ac:dyDescent="0.35">
      <c r="AG113" s="15" t="s">
        <v>341</v>
      </c>
      <c r="AH113">
        <v>5736</v>
      </c>
      <c r="AI113">
        <v>879</v>
      </c>
      <c r="AJ113">
        <v>329</v>
      </c>
      <c r="AK113">
        <v>215</v>
      </c>
      <c r="AR113">
        <v>102</v>
      </c>
    </row>
    <row r="114" spans="33:44" x14ac:dyDescent="0.35">
      <c r="AG114" s="15" t="s">
        <v>74</v>
      </c>
      <c r="AH114">
        <v>3289</v>
      </c>
      <c r="AI114">
        <v>465</v>
      </c>
      <c r="AJ114">
        <v>385</v>
      </c>
      <c r="AK114">
        <v>163</v>
      </c>
      <c r="AR114">
        <v>52</v>
      </c>
    </row>
    <row r="115" spans="33:44" x14ac:dyDescent="0.35">
      <c r="AG115" s="15" t="s">
        <v>57</v>
      </c>
      <c r="AH115">
        <v>3405</v>
      </c>
      <c r="AI115">
        <v>662</v>
      </c>
      <c r="AJ115">
        <v>791</v>
      </c>
      <c r="AK115">
        <v>618</v>
      </c>
      <c r="AR115">
        <v>39</v>
      </c>
    </row>
    <row r="116" spans="33:44" x14ac:dyDescent="0.35">
      <c r="AG116" s="17" t="s">
        <v>345</v>
      </c>
    </row>
    <row r="117" spans="33:44" x14ac:dyDescent="0.35">
      <c r="AG117" s="15" t="s">
        <v>58</v>
      </c>
      <c r="AH117">
        <v>10003</v>
      </c>
      <c r="AI117">
        <v>2435</v>
      </c>
      <c r="AJ117">
        <v>1844</v>
      </c>
      <c r="AK117">
        <v>838</v>
      </c>
      <c r="AL117">
        <v>42</v>
      </c>
      <c r="AM117">
        <v>417</v>
      </c>
      <c r="AR117">
        <v>174</v>
      </c>
    </row>
    <row r="118" spans="33:44" x14ac:dyDescent="0.35">
      <c r="AG118" s="15" t="s">
        <v>348</v>
      </c>
      <c r="AH118">
        <v>4049</v>
      </c>
      <c r="AI118">
        <v>1282</v>
      </c>
      <c r="AJ118">
        <v>410</v>
      </c>
      <c r="AK118">
        <v>463</v>
      </c>
      <c r="AL118">
        <v>77</v>
      </c>
      <c r="AR118">
        <v>27</v>
      </c>
    </row>
    <row r="119" spans="33:44" x14ac:dyDescent="0.35">
      <c r="AG119" s="15" t="s">
        <v>351</v>
      </c>
      <c r="AH119">
        <v>5406</v>
      </c>
      <c r="AI119">
        <v>3975</v>
      </c>
      <c r="AJ119">
        <v>1653</v>
      </c>
      <c r="AK119">
        <v>1020</v>
      </c>
      <c r="AL119">
        <v>151</v>
      </c>
      <c r="AR119">
        <v>79</v>
      </c>
    </row>
    <row r="120" spans="33:44" x14ac:dyDescent="0.35">
      <c r="AG120" s="15" t="s">
        <v>78</v>
      </c>
      <c r="AH120">
        <v>2775</v>
      </c>
      <c r="AI120">
        <v>984</v>
      </c>
      <c r="AJ120">
        <v>446</v>
      </c>
      <c r="AK120">
        <v>377</v>
      </c>
      <c r="AM120">
        <v>84</v>
      </c>
      <c r="AR120">
        <v>24</v>
      </c>
    </row>
    <row r="121" spans="33:44" x14ac:dyDescent="0.35">
      <c r="AG121" s="17" t="s">
        <v>355</v>
      </c>
    </row>
    <row r="122" spans="33:44" x14ac:dyDescent="0.35">
      <c r="AG122" s="15" t="s">
        <v>358</v>
      </c>
      <c r="AH122">
        <v>7026</v>
      </c>
      <c r="AI122">
        <v>310</v>
      </c>
      <c r="AJ122">
        <v>1850</v>
      </c>
      <c r="AK122">
        <v>86</v>
      </c>
      <c r="AM122">
        <v>113</v>
      </c>
      <c r="AR122">
        <v>108</v>
      </c>
    </row>
    <row r="123" spans="33:44" x14ac:dyDescent="0.35">
      <c r="AG123" s="15" t="s">
        <v>364</v>
      </c>
      <c r="AH123">
        <v>2754</v>
      </c>
      <c r="AI123">
        <v>497</v>
      </c>
      <c r="AJ123">
        <v>555</v>
      </c>
      <c r="AK123">
        <v>152</v>
      </c>
      <c r="AR123">
        <v>117</v>
      </c>
    </row>
    <row r="124" spans="33:44" x14ac:dyDescent="0.35">
      <c r="AG124" s="15" t="s">
        <v>361</v>
      </c>
      <c r="AH124">
        <v>2886</v>
      </c>
      <c r="AI124">
        <v>901</v>
      </c>
      <c r="AJ124">
        <v>1129</v>
      </c>
      <c r="AK124">
        <v>54</v>
      </c>
      <c r="AR124">
        <v>49</v>
      </c>
    </row>
    <row r="125" spans="33:44" x14ac:dyDescent="0.35">
      <c r="AG125" s="15" t="s">
        <v>60</v>
      </c>
      <c r="AH125">
        <v>2822</v>
      </c>
      <c r="AI125">
        <v>559</v>
      </c>
      <c r="AJ125">
        <v>930</v>
      </c>
      <c r="AK125">
        <v>73</v>
      </c>
      <c r="AM125">
        <v>11</v>
      </c>
      <c r="AR125">
        <v>94</v>
      </c>
    </row>
    <row r="126" spans="33:44" x14ac:dyDescent="0.35">
      <c r="AG126" s="17" t="s">
        <v>366</v>
      </c>
    </row>
    <row r="127" spans="33:44" x14ac:dyDescent="0.35">
      <c r="AG127" s="15" t="s">
        <v>372</v>
      </c>
      <c r="AH127">
        <v>2947</v>
      </c>
      <c r="AI127">
        <v>264</v>
      </c>
      <c r="AJ127">
        <v>2306</v>
      </c>
      <c r="AK127">
        <v>80</v>
      </c>
      <c r="AR127">
        <v>62</v>
      </c>
    </row>
    <row r="128" spans="33:44" x14ac:dyDescent="0.35">
      <c r="AG128" s="15" t="s">
        <v>369</v>
      </c>
      <c r="AH128">
        <v>6184</v>
      </c>
      <c r="AJ128">
        <v>1437</v>
      </c>
      <c r="AK128">
        <v>202</v>
      </c>
      <c r="AP128">
        <v>62</v>
      </c>
      <c r="AR128">
        <v>49</v>
      </c>
    </row>
    <row r="129" spans="33:44" x14ac:dyDescent="0.35">
      <c r="AG129" s="17" t="s">
        <v>374</v>
      </c>
    </row>
    <row r="130" spans="33:44" x14ac:dyDescent="0.35">
      <c r="AG130" s="15" t="s">
        <v>379</v>
      </c>
      <c r="AH130">
        <v>6209</v>
      </c>
      <c r="AJ130">
        <v>740</v>
      </c>
      <c r="AK130">
        <v>165</v>
      </c>
      <c r="AR130">
        <v>52</v>
      </c>
    </row>
    <row r="131" spans="33:44" x14ac:dyDescent="0.35">
      <c r="AG131" s="15" t="s">
        <v>80</v>
      </c>
      <c r="AH131">
        <v>1974</v>
      </c>
      <c r="AI131">
        <v>57</v>
      </c>
      <c r="AJ131">
        <v>2677</v>
      </c>
      <c r="AK131">
        <v>109</v>
      </c>
      <c r="AP131">
        <v>54</v>
      </c>
      <c r="AR131">
        <v>59</v>
      </c>
    </row>
    <row r="132" spans="33:44" x14ac:dyDescent="0.35">
      <c r="AG132" s="17" t="s">
        <v>2309</v>
      </c>
      <c r="AH132">
        <v>445216</v>
      </c>
      <c r="AI132">
        <v>77641</v>
      </c>
      <c r="AJ132">
        <v>138133</v>
      </c>
      <c r="AK132">
        <v>40466</v>
      </c>
      <c r="AL132">
        <v>2503</v>
      </c>
      <c r="AM132">
        <v>2941</v>
      </c>
      <c r="AN132">
        <v>1191</v>
      </c>
      <c r="AO132">
        <v>2052</v>
      </c>
      <c r="AP132">
        <v>20651</v>
      </c>
      <c r="AQ132">
        <v>1054</v>
      </c>
      <c r="AR132">
        <v>9047</v>
      </c>
    </row>
  </sheetData>
  <autoFilter ref="A2:AF102" xr:uid="{EB70BDEA-947D-4D31-9E7C-B8C1D2204E7F}"/>
  <mergeCells count="2">
    <mergeCell ref="A1:Q1"/>
    <mergeCell ref="R1:AE1"/>
  </mergeCells>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C58A7-BBFA-4F24-98A4-2E41051994E1}">
  <dimension ref="A1:V34"/>
  <sheetViews>
    <sheetView tabSelected="1" zoomScale="74" zoomScaleNormal="74" workbookViewId="0">
      <pane ySplit="3" topLeftCell="A4" activePane="bottomLeft" state="frozen"/>
      <selection activeCell="I1" sqref="I1"/>
      <selection pane="bottomLeft" activeCell="G16" sqref="G16"/>
    </sheetView>
  </sheetViews>
  <sheetFormatPr defaultColWidth="6.54296875" defaultRowHeight="14.5" x14ac:dyDescent="0.35"/>
  <cols>
    <col min="1" max="1" width="39.26953125" bestFit="1" customWidth="1"/>
    <col min="2" max="2" width="39.1796875" bestFit="1" customWidth="1"/>
    <col min="3" max="3" width="25.1796875" bestFit="1" customWidth="1"/>
    <col min="4" max="5" width="7.90625" bestFit="1" customWidth="1"/>
    <col min="6" max="6" width="8.90625" bestFit="1" customWidth="1"/>
    <col min="7" max="8" width="19.54296875" bestFit="1" customWidth="1"/>
    <col min="9" max="11" width="18.90625" bestFit="1" customWidth="1"/>
    <col min="12" max="12" width="49.08984375" bestFit="1" customWidth="1"/>
    <col min="13" max="13" width="49" bestFit="1" customWidth="1"/>
    <col min="14" max="14" width="25.1796875" bestFit="1" customWidth="1"/>
    <col min="15" max="15" width="7.90625" bestFit="1" customWidth="1"/>
    <col min="16" max="16" width="7.90625" customWidth="1"/>
    <col min="17" max="17" width="8.90625" bestFit="1" customWidth="1"/>
    <col min="18" max="19" width="19.54296875" bestFit="1" customWidth="1"/>
    <col min="20" max="22" width="20.1796875" bestFit="1" customWidth="1"/>
  </cols>
  <sheetData>
    <row r="1" spans="1:22" x14ac:dyDescent="0.35">
      <c r="A1" s="51" t="s">
        <v>2489</v>
      </c>
      <c r="B1" s="51"/>
      <c r="C1" s="51"/>
      <c r="D1" s="51"/>
      <c r="E1" s="51"/>
      <c r="F1" s="51"/>
      <c r="G1" s="51"/>
      <c r="H1" s="51"/>
      <c r="I1" s="51"/>
      <c r="J1" s="51"/>
      <c r="K1" s="51"/>
      <c r="L1" s="52" t="s">
        <v>2501</v>
      </c>
      <c r="M1" s="52"/>
      <c r="N1" s="52"/>
      <c r="O1" s="52"/>
      <c r="P1" s="52"/>
      <c r="Q1" s="52"/>
      <c r="R1" s="52"/>
      <c r="S1" s="52"/>
      <c r="T1" s="52"/>
      <c r="U1" s="52"/>
      <c r="V1" s="52"/>
    </row>
    <row r="2" spans="1:22" x14ac:dyDescent="0.35">
      <c r="A2" t="s">
        <v>383</v>
      </c>
      <c r="B2" t="s">
        <v>382</v>
      </c>
      <c r="C2" s="6" t="s">
        <v>2463</v>
      </c>
      <c r="D2" t="s">
        <v>2311</v>
      </c>
      <c r="E2" t="s">
        <v>2334</v>
      </c>
      <c r="F2" t="s">
        <v>2310</v>
      </c>
      <c r="G2" t="s">
        <v>2335</v>
      </c>
      <c r="H2" t="s">
        <v>2336</v>
      </c>
      <c r="I2" t="s">
        <v>2319</v>
      </c>
      <c r="J2" t="s">
        <v>2320</v>
      </c>
      <c r="K2" t="s">
        <v>2337</v>
      </c>
      <c r="L2" t="s">
        <v>392</v>
      </c>
      <c r="M2" t="s">
        <v>393</v>
      </c>
      <c r="N2" s="6" t="s">
        <v>2463</v>
      </c>
      <c r="O2" t="s">
        <v>2311</v>
      </c>
      <c r="P2" t="s">
        <v>2334</v>
      </c>
      <c r="Q2" t="s">
        <v>2310</v>
      </c>
      <c r="R2" t="s">
        <v>2335</v>
      </c>
      <c r="S2" t="s">
        <v>2336</v>
      </c>
      <c r="T2" t="s">
        <v>2326</v>
      </c>
      <c r="U2" t="s">
        <v>2327</v>
      </c>
      <c r="V2" t="s">
        <v>2341</v>
      </c>
    </row>
    <row r="3" spans="1:22" s="40" customFormat="1" x14ac:dyDescent="0.35">
      <c r="A3" s="40" t="s">
        <v>2426</v>
      </c>
      <c r="B3" s="40" t="s">
        <v>2427</v>
      </c>
      <c r="C3" s="48" t="s">
        <v>2462</v>
      </c>
      <c r="D3" s="40" t="s">
        <v>2465</v>
      </c>
      <c r="E3" s="40" t="s">
        <v>2491</v>
      </c>
      <c r="F3" s="40" t="s">
        <v>2464</v>
      </c>
      <c r="G3" s="40" t="s">
        <v>2492</v>
      </c>
      <c r="H3" s="40" t="s">
        <v>2493</v>
      </c>
      <c r="I3" s="40" t="s">
        <v>2472</v>
      </c>
      <c r="J3" s="40" t="s">
        <v>2473</v>
      </c>
      <c r="K3" s="40" t="s">
        <v>2494</v>
      </c>
      <c r="L3" s="40" t="s">
        <v>2483</v>
      </c>
      <c r="M3" s="40" t="s">
        <v>2484</v>
      </c>
      <c r="N3" s="48" t="s">
        <v>2462</v>
      </c>
      <c r="O3" s="40" t="s">
        <v>2465</v>
      </c>
      <c r="P3" s="40" t="s">
        <v>2491</v>
      </c>
      <c r="Q3" s="40" t="s">
        <v>2464</v>
      </c>
      <c r="R3" s="40" t="s">
        <v>2492</v>
      </c>
      <c r="S3" s="40" t="s">
        <v>2493</v>
      </c>
      <c r="T3" s="40" t="s">
        <v>2472</v>
      </c>
      <c r="U3" s="40" t="s">
        <v>2473</v>
      </c>
      <c r="V3" s="40" t="s">
        <v>2494</v>
      </c>
    </row>
    <row r="4" spans="1:22" x14ac:dyDescent="0.35">
      <c r="A4" t="s">
        <v>83</v>
      </c>
      <c r="B4" t="s">
        <v>84</v>
      </c>
      <c r="C4" s="20" t="s">
        <v>2332</v>
      </c>
      <c r="D4">
        <v>17024</v>
      </c>
      <c r="F4">
        <v>11417</v>
      </c>
      <c r="G4">
        <v>2288</v>
      </c>
      <c r="L4" t="str">
        <f t="shared" ref="L4:M34" si="0">A4</f>
        <v>P.192</v>
      </c>
      <c r="M4" t="str">
        <f t="shared" si="0"/>
        <v>MAS GADING</v>
      </c>
      <c r="N4" s="20" t="s">
        <v>2332</v>
      </c>
      <c r="O4">
        <v>19358</v>
      </c>
      <c r="Q4">
        <v>17380</v>
      </c>
      <c r="R4">
        <v>4810</v>
      </c>
    </row>
    <row r="5" spans="1:22" x14ac:dyDescent="0.35">
      <c r="A5" t="s">
        <v>89</v>
      </c>
      <c r="B5" t="s">
        <v>90</v>
      </c>
      <c r="C5" s="20" t="s">
        <v>2331</v>
      </c>
      <c r="D5">
        <v>5003</v>
      </c>
      <c r="F5">
        <v>42989</v>
      </c>
      <c r="I5">
        <v>2993</v>
      </c>
      <c r="L5" t="str">
        <f t="shared" si="0"/>
        <v>P.193</v>
      </c>
      <c r="M5" t="str">
        <f t="shared" si="0"/>
        <v>SANTUBONG</v>
      </c>
      <c r="N5" s="20" t="s">
        <v>2331</v>
      </c>
      <c r="O5">
        <v>5003</v>
      </c>
      <c r="Q5">
        <v>42989</v>
      </c>
      <c r="T5">
        <v>2993</v>
      </c>
    </row>
    <row r="6" spans="1:22" x14ac:dyDescent="0.35">
      <c r="A6" t="s">
        <v>100</v>
      </c>
      <c r="B6" t="s">
        <v>101</v>
      </c>
      <c r="C6" s="20" t="s">
        <v>2331</v>
      </c>
      <c r="D6">
        <v>13220</v>
      </c>
      <c r="F6">
        <v>53331</v>
      </c>
      <c r="G6">
        <v>1019</v>
      </c>
      <c r="L6" t="str">
        <f t="shared" si="0"/>
        <v>P.194</v>
      </c>
      <c r="M6" t="str">
        <f t="shared" si="0"/>
        <v>PETRA JAYA</v>
      </c>
      <c r="N6" s="20" t="s">
        <v>2331</v>
      </c>
      <c r="O6">
        <v>13220</v>
      </c>
      <c r="Q6">
        <v>53331</v>
      </c>
      <c r="R6">
        <v>1019</v>
      </c>
    </row>
    <row r="7" spans="1:22" x14ac:dyDescent="0.35">
      <c r="A7" t="s">
        <v>111</v>
      </c>
      <c r="B7" t="s">
        <v>112</v>
      </c>
      <c r="C7" s="20" t="s">
        <v>2332</v>
      </c>
      <c r="D7">
        <v>44940</v>
      </c>
      <c r="F7">
        <v>16201</v>
      </c>
      <c r="G7">
        <v>1736</v>
      </c>
      <c r="L7" t="str">
        <f t="shared" si="0"/>
        <v>P.195</v>
      </c>
      <c r="M7" t="str">
        <f t="shared" si="0"/>
        <v>BANDAR KUCHING</v>
      </c>
      <c r="N7" s="20" t="s">
        <v>2332</v>
      </c>
      <c r="O7">
        <v>44940</v>
      </c>
      <c r="Q7">
        <v>16201</v>
      </c>
      <c r="R7">
        <v>1736</v>
      </c>
    </row>
    <row r="8" spans="1:22" x14ac:dyDescent="0.35">
      <c r="A8" t="s">
        <v>122</v>
      </c>
      <c r="B8" t="s">
        <v>123</v>
      </c>
      <c r="C8" s="20" t="s">
        <v>2332</v>
      </c>
      <c r="D8">
        <v>38877</v>
      </c>
      <c r="F8">
        <v>31051</v>
      </c>
      <c r="G8">
        <v>2209</v>
      </c>
      <c r="L8" t="str">
        <f t="shared" si="0"/>
        <v>P.196</v>
      </c>
      <c r="M8" t="str">
        <f t="shared" si="0"/>
        <v>STAMPIN</v>
      </c>
      <c r="N8" s="20" t="s">
        <v>2332</v>
      </c>
      <c r="O8">
        <v>38877</v>
      </c>
      <c r="Q8">
        <v>31051</v>
      </c>
      <c r="R8">
        <v>2209</v>
      </c>
    </row>
    <row r="9" spans="1:22" x14ac:dyDescent="0.35">
      <c r="A9" t="s">
        <v>133</v>
      </c>
      <c r="B9" t="s">
        <v>134</v>
      </c>
      <c r="C9" s="20" t="s">
        <v>2331</v>
      </c>
      <c r="D9">
        <v>12667</v>
      </c>
      <c r="F9">
        <v>41077</v>
      </c>
      <c r="L9" t="str">
        <f t="shared" si="0"/>
        <v>P.197</v>
      </c>
      <c r="M9" t="str">
        <f t="shared" si="0"/>
        <v>KOTA SAMARAHAN</v>
      </c>
      <c r="N9" s="20" t="s">
        <v>2331</v>
      </c>
      <c r="O9">
        <v>12667</v>
      </c>
      <c r="Q9">
        <v>41077</v>
      </c>
    </row>
    <row r="10" spans="1:22" x14ac:dyDescent="0.35">
      <c r="A10" t="s">
        <v>144</v>
      </c>
      <c r="B10" t="s">
        <v>145</v>
      </c>
      <c r="C10" s="20" t="s">
        <v>2331</v>
      </c>
      <c r="D10">
        <v>15977</v>
      </c>
      <c r="F10">
        <v>28877</v>
      </c>
      <c r="G10">
        <v>5518</v>
      </c>
      <c r="L10" t="str">
        <f t="shared" si="0"/>
        <v>P.198</v>
      </c>
      <c r="M10" t="str">
        <f t="shared" si="0"/>
        <v>PUNCAK BORNEO</v>
      </c>
      <c r="N10" s="20" t="s">
        <v>2331</v>
      </c>
      <c r="O10">
        <v>13242</v>
      </c>
      <c r="Q10">
        <v>23715</v>
      </c>
      <c r="R10">
        <v>3441</v>
      </c>
      <c r="T10">
        <v>784</v>
      </c>
    </row>
    <row r="11" spans="1:22" x14ac:dyDescent="0.35">
      <c r="A11" t="s">
        <v>154</v>
      </c>
      <c r="B11" t="s">
        <v>155</v>
      </c>
      <c r="C11" s="20" t="s">
        <v>2329</v>
      </c>
      <c r="D11">
        <v>5243</v>
      </c>
      <c r="F11">
        <v>22403</v>
      </c>
      <c r="G11">
        <v>5582</v>
      </c>
      <c r="I11">
        <v>6109</v>
      </c>
      <c r="L11" t="str">
        <f t="shared" si="0"/>
        <v>P.199</v>
      </c>
      <c r="M11" t="str">
        <f t="shared" si="0"/>
        <v>SERIAN</v>
      </c>
      <c r="N11" s="20" t="s">
        <v>2329</v>
      </c>
      <c r="O11">
        <v>5644</v>
      </c>
      <c r="Q11">
        <v>21602</v>
      </c>
      <c r="R11">
        <v>5137</v>
      </c>
      <c r="T11">
        <v>5325</v>
      </c>
    </row>
    <row r="12" spans="1:22" x14ac:dyDescent="0.35">
      <c r="A12" t="s">
        <v>165</v>
      </c>
      <c r="B12" t="s">
        <v>166</v>
      </c>
      <c r="C12" s="20" t="s">
        <v>2331</v>
      </c>
      <c r="D12">
        <v>3739</v>
      </c>
      <c r="F12">
        <v>18313</v>
      </c>
      <c r="L12" t="str">
        <f t="shared" si="0"/>
        <v>P.200</v>
      </c>
      <c r="M12" t="str">
        <f t="shared" si="0"/>
        <v>BATANG SADONG</v>
      </c>
      <c r="N12" s="20" t="s">
        <v>2331</v>
      </c>
      <c r="O12">
        <v>3739</v>
      </c>
      <c r="Q12">
        <v>18313</v>
      </c>
    </row>
    <row r="13" spans="1:22" x14ac:dyDescent="0.35">
      <c r="A13" t="s">
        <v>176</v>
      </c>
      <c r="B13" t="s">
        <v>177</v>
      </c>
      <c r="C13" s="20" t="s">
        <v>2331</v>
      </c>
      <c r="D13">
        <v>2759</v>
      </c>
      <c r="E13">
        <v>5128</v>
      </c>
      <c r="F13">
        <v>19324</v>
      </c>
      <c r="L13" t="str">
        <f t="shared" si="0"/>
        <v>P.201</v>
      </c>
      <c r="M13" t="str">
        <f t="shared" si="0"/>
        <v>BATANG LUPAR</v>
      </c>
      <c r="N13" s="20" t="s">
        <v>2331</v>
      </c>
      <c r="O13">
        <v>2759</v>
      </c>
      <c r="P13">
        <v>5128</v>
      </c>
      <c r="Q13">
        <v>19324</v>
      </c>
    </row>
    <row r="14" spans="1:22" x14ac:dyDescent="0.35">
      <c r="A14" t="s">
        <v>187</v>
      </c>
      <c r="B14" t="s">
        <v>188</v>
      </c>
      <c r="C14" s="20" t="s">
        <v>2333</v>
      </c>
      <c r="D14">
        <v>1983</v>
      </c>
      <c r="F14">
        <v>13445</v>
      </c>
      <c r="G14">
        <v>9998</v>
      </c>
      <c r="I14">
        <v>5646</v>
      </c>
      <c r="L14" t="str">
        <f t="shared" si="0"/>
        <v>P.202</v>
      </c>
      <c r="M14" t="str">
        <f t="shared" si="0"/>
        <v>SRI AMAN</v>
      </c>
      <c r="N14" s="20" t="s">
        <v>2333</v>
      </c>
      <c r="O14">
        <v>1983</v>
      </c>
      <c r="Q14">
        <v>13445</v>
      </c>
      <c r="R14">
        <v>9998</v>
      </c>
      <c r="T14">
        <v>5646</v>
      </c>
    </row>
    <row r="15" spans="1:22" x14ac:dyDescent="0.35">
      <c r="A15" t="s">
        <v>198</v>
      </c>
      <c r="B15" t="s">
        <v>199</v>
      </c>
      <c r="C15" s="20" t="s">
        <v>2333</v>
      </c>
      <c r="D15">
        <v>737</v>
      </c>
      <c r="E15">
        <v>5313</v>
      </c>
      <c r="F15">
        <v>6540</v>
      </c>
      <c r="G15">
        <v>6491</v>
      </c>
      <c r="L15" t="str">
        <f t="shared" si="0"/>
        <v>P.203</v>
      </c>
      <c r="M15" t="str">
        <f t="shared" si="0"/>
        <v>LUBOK ANTU</v>
      </c>
      <c r="N15" s="20" t="s">
        <v>2333</v>
      </c>
      <c r="O15">
        <v>691</v>
      </c>
      <c r="P15">
        <v>4837</v>
      </c>
      <c r="Q15">
        <v>6197</v>
      </c>
      <c r="R15">
        <v>5915</v>
      </c>
    </row>
    <row r="16" spans="1:22" x14ac:dyDescent="0.35">
      <c r="A16" t="s">
        <v>206</v>
      </c>
      <c r="B16" t="s">
        <v>207</v>
      </c>
      <c r="C16" s="20" t="s">
        <v>2331</v>
      </c>
      <c r="D16">
        <v>5138</v>
      </c>
      <c r="F16">
        <v>16119</v>
      </c>
      <c r="I16">
        <v>4991</v>
      </c>
      <c r="L16" t="str">
        <f t="shared" si="0"/>
        <v>P.204</v>
      </c>
      <c r="M16" t="str">
        <f t="shared" si="0"/>
        <v>BETONG</v>
      </c>
      <c r="N16" s="20" t="s">
        <v>2331</v>
      </c>
      <c r="O16">
        <v>5184</v>
      </c>
      <c r="P16">
        <v>476</v>
      </c>
      <c r="Q16">
        <v>16462</v>
      </c>
      <c r="R16">
        <v>576</v>
      </c>
      <c r="T16">
        <v>4991</v>
      </c>
    </row>
    <row r="17" spans="1:22" x14ac:dyDescent="0.35">
      <c r="A17" t="s">
        <v>217</v>
      </c>
      <c r="B17" t="s">
        <v>218</v>
      </c>
      <c r="C17" s="20" t="s">
        <v>2339</v>
      </c>
      <c r="D17">
        <v>1202</v>
      </c>
      <c r="E17">
        <v>18797</v>
      </c>
      <c r="F17">
        <v>10160</v>
      </c>
      <c r="L17" t="str">
        <f t="shared" si="0"/>
        <v>P.205</v>
      </c>
      <c r="M17" t="str">
        <f t="shared" si="0"/>
        <v>SARATOK</v>
      </c>
      <c r="N17" s="20" t="s">
        <v>2339</v>
      </c>
      <c r="O17">
        <v>1202</v>
      </c>
      <c r="P17">
        <v>18797</v>
      </c>
      <c r="Q17">
        <v>10160</v>
      </c>
    </row>
    <row r="18" spans="1:22" x14ac:dyDescent="0.35">
      <c r="A18" t="s">
        <v>228</v>
      </c>
      <c r="B18" t="s">
        <v>229</v>
      </c>
      <c r="C18" s="20" t="s">
        <v>2331</v>
      </c>
      <c r="D18">
        <v>2537</v>
      </c>
      <c r="F18">
        <v>15924</v>
      </c>
      <c r="L18" t="str">
        <f t="shared" si="0"/>
        <v>P.206</v>
      </c>
      <c r="M18" t="str">
        <f t="shared" si="0"/>
        <v>TANJONG MANIS</v>
      </c>
      <c r="N18" s="20" t="s">
        <v>2331</v>
      </c>
      <c r="O18">
        <v>2682</v>
      </c>
      <c r="Q18">
        <v>17107</v>
      </c>
    </row>
    <row r="19" spans="1:22" x14ac:dyDescent="0.35">
      <c r="A19" t="s">
        <v>235</v>
      </c>
      <c r="B19" t="s">
        <v>236</v>
      </c>
      <c r="C19" s="20" t="s">
        <v>2331</v>
      </c>
      <c r="D19">
        <v>1148</v>
      </c>
      <c r="F19">
        <v>15394</v>
      </c>
      <c r="L19" t="str">
        <f t="shared" si="0"/>
        <v>P.207</v>
      </c>
      <c r="M19" t="str">
        <f t="shared" si="0"/>
        <v>IGAN</v>
      </c>
      <c r="N19" s="20" t="s">
        <v>2331</v>
      </c>
      <c r="O19">
        <v>956</v>
      </c>
      <c r="Q19">
        <v>12940</v>
      </c>
    </row>
    <row r="20" spans="1:22" x14ac:dyDescent="0.35">
      <c r="A20" t="s">
        <v>242</v>
      </c>
      <c r="B20" t="s">
        <v>243</v>
      </c>
      <c r="C20" s="20" t="s">
        <v>2329</v>
      </c>
      <c r="D20">
        <v>16234</v>
      </c>
      <c r="F20">
        <v>19554</v>
      </c>
      <c r="L20" t="str">
        <f t="shared" si="0"/>
        <v>P.208</v>
      </c>
      <c r="M20" t="str">
        <f t="shared" si="0"/>
        <v>SARIKEI</v>
      </c>
      <c r="N20" s="20" t="s">
        <v>2329</v>
      </c>
      <c r="O20">
        <v>16192</v>
      </c>
      <c r="Q20">
        <v>19331</v>
      </c>
    </row>
    <row r="21" spans="1:22" x14ac:dyDescent="0.35">
      <c r="A21" t="s">
        <v>250</v>
      </c>
      <c r="B21" t="s">
        <v>251</v>
      </c>
      <c r="C21" s="20" t="s">
        <v>2338</v>
      </c>
      <c r="F21">
        <v>7679</v>
      </c>
      <c r="G21">
        <v>330</v>
      </c>
      <c r="H21">
        <v>8978</v>
      </c>
      <c r="I21">
        <v>5194</v>
      </c>
      <c r="L21" t="str">
        <f t="shared" si="0"/>
        <v>P.209</v>
      </c>
      <c r="M21" t="str">
        <f t="shared" si="0"/>
        <v>JULAU</v>
      </c>
      <c r="N21" s="20" t="s">
        <v>2338</v>
      </c>
      <c r="Q21">
        <v>7679</v>
      </c>
      <c r="R21">
        <v>330</v>
      </c>
      <c r="S21">
        <v>8978</v>
      </c>
      <c r="T21">
        <v>5194</v>
      </c>
    </row>
    <row r="22" spans="1:22" x14ac:dyDescent="0.35">
      <c r="A22" t="s">
        <v>258</v>
      </c>
      <c r="B22" t="s">
        <v>259</v>
      </c>
      <c r="C22" s="20" t="s">
        <v>2333</v>
      </c>
      <c r="D22">
        <v>7120</v>
      </c>
      <c r="F22">
        <v>7091</v>
      </c>
      <c r="I22">
        <v>419</v>
      </c>
      <c r="J22">
        <v>733</v>
      </c>
      <c r="K22">
        <v>2269</v>
      </c>
      <c r="L22" t="str">
        <f t="shared" si="0"/>
        <v>P.210</v>
      </c>
      <c r="M22" t="str">
        <f t="shared" si="0"/>
        <v>KANOWIT</v>
      </c>
      <c r="N22" s="20" t="s">
        <v>2333</v>
      </c>
      <c r="O22">
        <v>7120</v>
      </c>
      <c r="Q22">
        <v>7091</v>
      </c>
      <c r="T22">
        <v>419</v>
      </c>
      <c r="U22">
        <v>733</v>
      </c>
      <c r="V22">
        <v>2269</v>
      </c>
    </row>
    <row r="23" spans="1:22" x14ac:dyDescent="0.35">
      <c r="A23" t="s">
        <v>266</v>
      </c>
      <c r="B23" t="s">
        <v>267</v>
      </c>
      <c r="C23" s="20" t="s">
        <v>2332</v>
      </c>
      <c r="D23">
        <v>29853</v>
      </c>
      <c r="F23">
        <v>17783</v>
      </c>
      <c r="G23">
        <v>3384</v>
      </c>
      <c r="I23">
        <v>575</v>
      </c>
      <c r="L23" t="str">
        <f t="shared" si="0"/>
        <v>P.211</v>
      </c>
      <c r="M23" t="str">
        <f t="shared" si="0"/>
        <v>LANANG</v>
      </c>
      <c r="N23" s="20" t="s">
        <v>2332</v>
      </c>
      <c r="O23">
        <v>30032</v>
      </c>
      <c r="Q23">
        <v>18714</v>
      </c>
      <c r="R23">
        <v>3637</v>
      </c>
      <c r="T23">
        <v>573</v>
      </c>
    </row>
    <row r="24" spans="1:22" x14ac:dyDescent="0.35">
      <c r="A24" t="s">
        <v>274</v>
      </c>
      <c r="B24" t="s">
        <v>275</v>
      </c>
      <c r="C24" s="20" t="s">
        <v>2332</v>
      </c>
      <c r="D24">
        <v>30995</v>
      </c>
      <c r="F24">
        <v>22433</v>
      </c>
      <c r="G24">
        <v>10703</v>
      </c>
      <c r="L24" t="str">
        <f t="shared" si="0"/>
        <v>P.212</v>
      </c>
      <c r="M24" t="str">
        <f t="shared" si="0"/>
        <v>SIBU</v>
      </c>
      <c r="N24" s="20" t="s">
        <v>2332</v>
      </c>
      <c r="O24">
        <v>30816</v>
      </c>
      <c r="Q24">
        <v>21502</v>
      </c>
      <c r="R24">
        <v>10450</v>
      </c>
      <c r="T24">
        <v>2</v>
      </c>
    </row>
    <row r="25" spans="1:22" x14ac:dyDescent="0.35">
      <c r="A25" t="s">
        <v>284</v>
      </c>
      <c r="B25" t="s">
        <v>285</v>
      </c>
      <c r="C25" s="20" t="s">
        <v>2331</v>
      </c>
      <c r="D25">
        <v>6009</v>
      </c>
      <c r="F25">
        <v>21268</v>
      </c>
      <c r="L25" t="str">
        <f t="shared" si="0"/>
        <v>P.213</v>
      </c>
      <c r="M25" t="str">
        <f t="shared" si="0"/>
        <v>MUKAH</v>
      </c>
      <c r="N25" s="20" t="s">
        <v>2331</v>
      </c>
      <c r="O25">
        <v>6098</v>
      </c>
      <c r="Q25">
        <v>22762</v>
      </c>
    </row>
    <row r="26" spans="1:22" x14ac:dyDescent="0.35">
      <c r="A26" t="s">
        <v>295</v>
      </c>
      <c r="B26" t="s">
        <v>296</v>
      </c>
      <c r="C26" s="20" t="s">
        <v>2333</v>
      </c>
      <c r="D26">
        <v>11040</v>
      </c>
      <c r="F26">
        <v>15843</v>
      </c>
      <c r="I26">
        <v>1619</v>
      </c>
      <c r="L26" t="str">
        <f t="shared" si="0"/>
        <v>P.214</v>
      </c>
      <c r="M26" t="str">
        <f t="shared" si="0"/>
        <v>SELANGAU</v>
      </c>
      <c r="N26" s="20" t="s">
        <v>2333</v>
      </c>
      <c r="O26">
        <v>11040</v>
      </c>
      <c r="Q26">
        <v>15843</v>
      </c>
      <c r="T26">
        <v>1619</v>
      </c>
    </row>
    <row r="27" spans="1:22" x14ac:dyDescent="0.35">
      <c r="A27" t="s">
        <v>303</v>
      </c>
      <c r="B27" t="s">
        <v>304</v>
      </c>
      <c r="C27" s="20" t="s">
        <v>2331</v>
      </c>
      <c r="D27">
        <v>4047</v>
      </c>
      <c r="F27">
        <v>15932</v>
      </c>
      <c r="G27">
        <v>1326</v>
      </c>
      <c r="L27" t="str">
        <f t="shared" si="0"/>
        <v>P.215</v>
      </c>
      <c r="M27" t="str">
        <f t="shared" si="0"/>
        <v>KAPIT</v>
      </c>
      <c r="N27" s="20" t="s">
        <v>2331</v>
      </c>
      <c r="O27">
        <v>4418</v>
      </c>
      <c r="Q27">
        <v>16870</v>
      </c>
      <c r="R27">
        <v>1326</v>
      </c>
    </row>
    <row r="28" spans="1:22" x14ac:dyDescent="0.35">
      <c r="A28" t="s">
        <v>314</v>
      </c>
      <c r="B28" t="s">
        <v>315</v>
      </c>
      <c r="C28" s="20" t="s">
        <v>2333</v>
      </c>
      <c r="D28">
        <v>7872</v>
      </c>
      <c r="F28">
        <v>15130</v>
      </c>
      <c r="L28" t="str">
        <f t="shared" si="0"/>
        <v>P.216</v>
      </c>
      <c r="M28" t="str">
        <f t="shared" si="0"/>
        <v>HULU RAJANG</v>
      </c>
      <c r="N28" s="20" t="s">
        <v>2333</v>
      </c>
      <c r="O28">
        <v>6698</v>
      </c>
      <c r="Q28">
        <v>12155</v>
      </c>
    </row>
    <row r="29" spans="1:22" x14ac:dyDescent="0.35">
      <c r="A29" t="s">
        <v>325</v>
      </c>
      <c r="B29" t="s">
        <v>326</v>
      </c>
      <c r="C29" s="20" t="s">
        <v>2330</v>
      </c>
      <c r="D29">
        <v>21201</v>
      </c>
      <c r="E29">
        <v>5612</v>
      </c>
      <c r="F29">
        <v>42882</v>
      </c>
      <c r="L29" t="str">
        <f t="shared" si="0"/>
        <v>P.217</v>
      </c>
      <c r="M29" t="str">
        <f t="shared" si="0"/>
        <v>BINTULU</v>
      </c>
      <c r="N29" s="20" t="s">
        <v>2330</v>
      </c>
      <c r="O29">
        <v>22483</v>
      </c>
      <c r="P29">
        <v>5612</v>
      </c>
      <c r="Q29">
        <v>45551</v>
      </c>
      <c r="R29">
        <v>66</v>
      </c>
    </row>
    <row r="30" spans="1:22" x14ac:dyDescent="0.35">
      <c r="A30" t="s">
        <v>338</v>
      </c>
      <c r="B30" t="s">
        <v>339</v>
      </c>
      <c r="C30" s="20" t="s">
        <v>2331</v>
      </c>
      <c r="D30">
        <v>10334</v>
      </c>
      <c r="F30">
        <v>21711</v>
      </c>
      <c r="G30">
        <v>1347</v>
      </c>
      <c r="L30" t="str">
        <f t="shared" si="0"/>
        <v>P.218</v>
      </c>
      <c r="M30" t="str">
        <f t="shared" si="0"/>
        <v>SIBUTI</v>
      </c>
      <c r="N30" s="20" t="s">
        <v>2331</v>
      </c>
      <c r="O30">
        <v>9855</v>
      </c>
      <c r="Q30">
        <v>21079</v>
      </c>
      <c r="R30">
        <v>1281</v>
      </c>
    </row>
    <row r="31" spans="1:22" x14ac:dyDescent="0.35">
      <c r="A31" t="s">
        <v>345</v>
      </c>
      <c r="B31" t="s">
        <v>346</v>
      </c>
      <c r="C31" s="20" t="s">
        <v>2340</v>
      </c>
      <c r="D31">
        <v>39193</v>
      </c>
      <c r="F31">
        <v>32328</v>
      </c>
      <c r="G31">
        <v>5139</v>
      </c>
      <c r="L31" t="str">
        <f t="shared" si="0"/>
        <v>P.219</v>
      </c>
      <c r="M31" t="str">
        <f t="shared" si="0"/>
        <v>MIRI</v>
      </c>
      <c r="N31" s="20" t="s">
        <v>2340</v>
      </c>
      <c r="O31">
        <v>39193</v>
      </c>
      <c r="Q31">
        <v>32328</v>
      </c>
      <c r="R31">
        <v>5139</v>
      </c>
    </row>
    <row r="32" spans="1:22" x14ac:dyDescent="0.35">
      <c r="A32" t="s">
        <v>355</v>
      </c>
      <c r="B32" t="s">
        <v>356</v>
      </c>
      <c r="C32" s="20" t="s">
        <v>2330</v>
      </c>
      <c r="D32">
        <v>10947</v>
      </c>
      <c r="F32">
        <v>18053</v>
      </c>
      <c r="I32">
        <v>323</v>
      </c>
      <c r="L32" t="str">
        <f t="shared" si="0"/>
        <v>P.220</v>
      </c>
      <c r="M32" t="str">
        <f t="shared" si="0"/>
        <v>BARAM</v>
      </c>
      <c r="N32" s="20" t="s">
        <v>2330</v>
      </c>
      <c r="O32">
        <v>10947</v>
      </c>
      <c r="Q32">
        <v>18053</v>
      </c>
      <c r="T32">
        <v>323</v>
      </c>
    </row>
    <row r="33" spans="1:18" x14ac:dyDescent="0.35">
      <c r="A33" t="s">
        <v>366</v>
      </c>
      <c r="B33" t="s">
        <v>367</v>
      </c>
      <c r="C33" s="20" t="s">
        <v>2331</v>
      </c>
      <c r="D33">
        <v>4833</v>
      </c>
      <c r="F33">
        <v>14403</v>
      </c>
      <c r="L33" t="str">
        <f t="shared" si="0"/>
        <v>P.221</v>
      </c>
      <c r="M33" t="str">
        <f t="shared" si="0"/>
        <v>LIMBANG</v>
      </c>
      <c r="N33" s="20" t="s">
        <v>2331</v>
      </c>
      <c r="O33">
        <v>4833</v>
      </c>
      <c r="Q33">
        <v>14403</v>
      </c>
    </row>
    <row r="34" spans="1:18" x14ac:dyDescent="0.35">
      <c r="A34" t="s">
        <v>374</v>
      </c>
      <c r="B34" t="s">
        <v>375</v>
      </c>
      <c r="C34" s="7" t="s">
        <v>2331</v>
      </c>
      <c r="D34">
        <v>1151</v>
      </c>
      <c r="F34">
        <v>11064</v>
      </c>
      <c r="G34">
        <v>5650</v>
      </c>
      <c r="L34" t="str">
        <f t="shared" si="0"/>
        <v>P.222</v>
      </c>
      <c r="M34" t="str">
        <f t="shared" si="0"/>
        <v>LAWAS</v>
      </c>
      <c r="N34" s="7" t="s">
        <v>2331</v>
      </c>
      <c r="O34">
        <v>1151</v>
      </c>
      <c r="Q34">
        <v>11064</v>
      </c>
      <c r="R34">
        <v>5650</v>
      </c>
    </row>
  </sheetData>
  <mergeCells count="2">
    <mergeCell ref="A1:K1"/>
    <mergeCell ref="L1:V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0EF631-8DDA-4A5D-BB29-64661A25BD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OVERALL SARAWAK STATISTICS</vt:lpstr>
      <vt:lpstr>OVERALL PROPOSAL</vt:lpstr>
      <vt:lpstr>PROPOSED PARLIAMENTARY SEATS</vt:lpstr>
      <vt:lpstr>PROPOSED DUN ALLOCATION</vt:lpstr>
      <vt:lpstr>PAR ETHNIC &amp; ELECTORATE CHANGE </vt:lpstr>
      <vt:lpstr>DUN ETHNIC &amp; ELECTORATE CHANGE</vt:lpstr>
      <vt:lpstr>MOVEMENT OF POLLING DISTRICTS</vt:lpstr>
      <vt:lpstr>IMPACT OF DUN OUTCOME</vt:lpstr>
      <vt:lpstr>IMPACT OF PARLIAMENT 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Danesh Prakash Chacko</dc:creator>
  <cp:lastModifiedBy>Danesh Prakash Chacko</cp:lastModifiedBy>
  <dcterms:created xsi:type="dcterms:W3CDTF">2026-03-13T00:40:55Z</dcterms:created>
  <dcterms:modified xsi:type="dcterms:W3CDTF">2026-03-30T01:15:56Z</dcterms:modified>
</cp:coreProperties>
</file>